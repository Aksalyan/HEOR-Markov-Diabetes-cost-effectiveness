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HEOR\"/>
    </mc:Choice>
  </mc:AlternateContent>
  <xr:revisionPtr revIDLastSave="0" documentId="8_{71CA9295-F68E-4A55-B670-5517FE384CDC}" xr6:coauthVersionLast="36" xr6:coauthVersionMax="36" xr10:uidLastSave="{00000000-0000-0000-0000-000000000000}"/>
  <bookViews>
    <workbookView xWindow="0" yWindow="0" windowWidth="20490" windowHeight="7695" tabRatio="768" activeTab="3" xr2:uid="{00000000-000D-0000-FFFF-FFFF00000000}"/>
  </bookViews>
  <sheets>
    <sheet name="Inputs" sheetId="5" r:id="rId1"/>
    <sheet name="Transition_Empa" sheetId="6" r:id="rId2"/>
    <sheet name="Transition_Sita" sheetId="2" r:id="rId3"/>
    <sheet name="Markov_Empa" sheetId="3" r:id="rId4"/>
    <sheet name="Markov_Sita" sheetId="8" r:id="rId5"/>
    <sheet name="Cost_QALYs" sheetId="9" r:id="rId6"/>
    <sheet name="Results" sheetId="10" r:id="rId7"/>
    <sheet name="README" sheetId="7" r:id="rId8"/>
    <sheet name="Validation" sheetId="4" r:id="rId9"/>
  </sheets>
  <calcPr calcId="191029"/>
</workbook>
</file>

<file path=xl/calcChain.xml><?xml version="1.0" encoding="utf-8"?>
<calcChain xmlns="http://schemas.openxmlformats.org/spreadsheetml/2006/main">
  <c r="K19" i="9" l="1"/>
  <c r="F3" i="9"/>
  <c r="C3" i="10"/>
  <c r="C2" i="10"/>
  <c r="B3" i="10"/>
  <c r="D3" i="10" s="1"/>
  <c r="B5" i="10" s="1"/>
  <c r="L30" i="9" l="1"/>
  <c r="K30" i="9"/>
  <c r="L20" i="9"/>
  <c r="L21" i="9"/>
  <c r="L22" i="9"/>
  <c r="L23" i="9"/>
  <c r="L24" i="9"/>
  <c r="L25" i="9"/>
  <c r="L26" i="9"/>
  <c r="L27" i="9"/>
  <c r="L28" i="9"/>
  <c r="L29" i="9"/>
  <c r="K20" i="9"/>
  <c r="K21" i="9"/>
  <c r="K22" i="9"/>
  <c r="K23" i="9"/>
  <c r="K24" i="9"/>
  <c r="K25" i="9"/>
  <c r="K26" i="9"/>
  <c r="K27" i="9"/>
  <c r="K28" i="9"/>
  <c r="K29" i="9"/>
  <c r="L19" i="9"/>
  <c r="J20" i="9"/>
  <c r="J21" i="9"/>
  <c r="J22" i="9"/>
  <c r="J23" i="9"/>
  <c r="J24" i="9"/>
  <c r="J25" i="9"/>
  <c r="J26" i="9"/>
  <c r="J27" i="9"/>
  <c r="J28" i="9"/>
  <c r="J29" i="9"/>
  <c r="J19" i="9"/>
  <c r="J12" i="9"/>
  <c r="I20" i="9"/>
  <c r="I21" i="9"/>
  <c r="I22" i="9"/>
  <c r="I23" i="9"/>
  <c r="I24" i="9"/>
  <c r="I25" i="9"/>
  <c r="I26" i="9"/>
  <c r="I27" i="9"/>
  <c r="I28" i="9"/>
  <c r="I29" i="9"/>
  <c r="I19" i="9"/>
  <c r="H20" i="9"/>
  <c r="H21" i="9"/>
  <c r="H22" i="9"/>
  <c r="H23" i="9"/>
  <c r="H24" i="9"/>
  <c r="H25" i="9"/>
  <c r="H26" i="9"/>
  <c r="H27" i="9"/>
  <c r="H28" i="9"/>
  <c r="H29" i="9"/>
  <c r="H19" i="9"/>
  <c r="G20" i="9"/>
  <c r="G21" i="9"/>
  <c r="G22" i="9"/>
  <c r="G23" i="9"/>
  <c r="G24" i="9"/>
  <c r="G25" i="9"/>
  <c r="G26" i="9"/>
  <c r="G27" i="9"/>
  <c r="G28" i="9"/>
  <c r="G29" i="9"/>
  <c r="G19" i="9"/>
  <c r="F20" i="9"/>
  <c r="F21" i="9"/>
  <c r="F22" i="9"/>
  <c r="F23" i="9"/>
  <c r="F24" i="9"/>
  <c r="F25" i="9"/>
  <c r="F26" i="9"/>
  <c r="F27" i="9"/>
  <c r="F28" i="9"/>
  <c r="F29" i="9"/>
  <c r="F19" i="9"/>
  <c r="E20" i="9"/>
  <c r="E21" i="9"/>
  <c r="E22" i="9"/>
  <c r="E23" i="9"/>
  <c r="E24" i="9"/>
  <c r="E25" i="9"/>
  <c r="E26" i="9"/>
  <c r="E27" i="9"/>
  <c r="E28" i="9"/>
  <c r="E29" i="9"/>
  <c r="E19" i="9"/>
  <c r="D19" i="9"/>
  <c r="D20" i="9"/>
  <c r="D21" i="9"/>
  <c r="D22" i="9"/>
  <c r="D23" i="9"/>
  <c r="D24" i="9"/>
  <c r="D25" i="9"/>
  <c r="D26" i="9"/>
  <c r="D27" i="9"/>
  <c r="D28" i="9"/>
  <c r="D29" i="9"/>
  <c r="D18" i="9"/>
  <c r="C19" i="9"/>
  <c r="C20" i="9"/>
  <c r="C21" i="9"/>
  <c r="C22" i="9"/>
  <c r="C23" i="9"/>
  <c r="C24" i="9"/>
  <c r="C25" i="9"/>
  <c r="C26" i="9"/>
  <c r="C27" i="9"/>
  <c r="C28" i="9"/>
  <c r="C29" i="9"/>
  <c r="C18" i="9"/>
  <c r="B19" i="9"/>
  <c r="B20" i="9"/>
  <c r="B21" i="9"/>
  <c r="B22" i="9"/>
  <c r="B23" i="9"/>
  <c r="B24" i="9"/>
  <c r="B25" i="9"/>
  <c r="B26" i="9"/>
  <c r="B27" i="9"/>
  <c r="B28" i="9"/>
  <c r="B29" i="9"/>
  <c r="B18" i="9"/>
  <c r="A27" i="9"/>
  <c r="A28" i="9"/>
  <c r="A29" i="9"/>
  <c r="A26" i="9"/>
  <c r="A20" i="9"/>
  <c r="A21" i="9"/>
  <c r="A22" i="9"/>
  <c r="A23" i="9"/>
  <c r="A24" i="9"/>
  <c r="A25" i="9"/>
  <c r="A19" i="9"/>
  <c r="J4" i="9"/>
  <c r="I6" i="9"/>
  <c r="I10" i="9"/>
  <c r="I3" i="9"/>
  <c r="L3" i="9" s="1"/>
  <c r="E6" i="9"/>
  <c r="F6" i="9" s="1"/>
  <c r="E10" i="9"/>
  <c r="F10" i="9" s="1"/>
  <c r="E3" i="9"/>
  <c r="D4" i="9"/>
  <c r="D5" i="9"/>
  <c r="D6" i="9"/>
  <c r="D7" i="9"/>
  <c r="D8" i="9"/>
  <c r="D9" i="9"/>
  <c r="D10" i="9"/>
  <c r="D11" i="9"/>
  <c r="D12" i="9"/>
  <c r="D13" i="9"/>
  <c r="D3" i="9"/>
  <c r="C7" i="9"/>
  <c r="C8" i="9"/>
  <c r="C9" i="9"/>
  <c r="C10" i="9"/>
  <c r="C11" i="9"/>
  <c r="C12" i="9"/>
  <c r="C13" i="9"/>
  <c r="C6" i="9"/>
  <c r="C5" i="9"/>
  <c r="C3" i="9"/>
  <c r="C4" i="9"/>
  <c r="E4" i="9" s="1"/>
  <c r="F4" i="9" s="1"/>
  <c r="H4" i="9" s="1"/>
  <c r="K4" i="9" s="1"/>
  <c r="B6" i="9"/>
  <c r="G6" i="9" s="1"/>
  <c r="B7" i="9"/>
  <c r="G7" i="9" s="1"/>
  <c r="B8" i="9"/>
  <c r="G8" i="9" s="1"/>
  <c r="B9" i="9"/>
  <c r="I9" i="9" s="1"/>
  <c r="B10" i="9"/>
  <c r="G10" i="9" s="1"/>
  <c r="B11" i="9"/>
  <c r="I11" i="9" s="1"/>
  <c r="B12" i="9"/>
  <c r="G12" i="9" s="1"/>
  <c r="B13" i="9"/>
  <c r="G13" i="9" s="1"/>
  <c r="B4" i="9"/>
  <c r="G4" i="9" s="1"/>
  <c r="B5" i="9"/>
  <c r="I5" i="9" s="1"/>
  <c r="B3" i="9"/>
  <c r="G3" i="9" s="1"/>
  <c r="H3" i="9" l="1"/>
  <c r="K3" i="9" s="1"/>
  <c r="E12" i="9"/>
  <c r="F12" i="9" s="1"/>
  <c r="E8" i="9"/>
  <c r="F8" i="9" s="1"/>
  <c r="I12" i="9"/>
  <c r="I8" i="9"/>
  <c r="H12" i="9"/>
  <c r="H8" i="9"/>
  <c r="H10" i="9"/>
  <c r="H6" i="9"/>
  <c r="G9" i="9"/>
  <c r="G5" i="9"/>
  <c r="G11" i="9"/>
  <c r="I4" i="9"/>
  <c r="L4" i="9" s="1"/>
  <c r="E13" i="9"/>
  <c r="F13" i="9" s="1"/>
  <c r="H13" i="9" s="1"/>
  <c r="E11" i="9"/>
  <c r="F11" i="9" s="1"/>
  <c r="H11" i="9" s="1"/>
  <c r="E9" i="9"/>
  <c r="F9" i="9" s="1"/>
  <c r="H9" i="9" s="1"/>
  <c r="E7" i="9"/>
  <c r="F7" i="9" s="1"/>
  <c r="H7" i="9" s="1"/>
  <c r="E5" i="9"/>
  <c r="F5" i="9" s="1"/>
  <c r="I13" i="9"/>
  <c r="I7" i="9"/>
  <c r="H5" i="9" l="1"/>
  <c r="C5" i="3" l="1"/>
  <c r="A5" i="9"/>
  <c r="J5" i="9" s="1"/>
  <c r="E5" i="3"/>
  <c r="C6" i="3" s="1"/>
  <c r="D5" i="3"/>
  <c r="F4" i="3"/>
  <c r="D5" i="8"/>
  <c r="E5" i="8"/>
  <c r="C5" i="8"/>
  <c r="F3" i="3"/>
  <c r="B5" i="3"/>
  <c r="B6" i="3" s="1"/>
  <c r="B7" i="3" s="1"/>
  <c r="B8" i="3" s="1"/>
  <c r="B9" i="3" s="1"/>
  <c r="B10" i="3" s="1"/>
  <c r="B11" i="3" s="1"/>
  <c r="B12" i="3" s="1"/>
  <c r="B13" i="3" s="1"/>
  <c r="E6" i="8"/>
  <c r="C6" i="8"/>
  <c r="F6" i="8" s="1"/>
  <c r="D6" i="8"/>
  <c r="C7" i="8"/>
  <c r="D7" i="8"/>
  <c r="F5" i="8"/>
  <c r="E4" i="8"/>
  <c r="D4" i="8"/>
  <c r="C4" i="8"/>
  <c r="F4" i="8"/>
  <c r="L5" i="9" l="1"/>
  <c r="K5" i="9"/>
  <c r="A6" i="9"/>
  <c r="E6" i="3"/>
  <c r="F5" i="3"/>
  <c r="D6" i="3"/>
  <c r="F6" i="3" s="1"/>
  <c r="E7" i="8"/>
  <c r="F7" i="8" s="1"/>
  <c r="C8" i="8"/>
  <c r="A7" i="9" l="1"/>
  <c r="J6" i="9"/>
  <c r="C7" i="3"/>
  <c r="E7" i="3"/>
  <c r="D7" i="3"/>
  <c r="D8" i="8"/>
  <c r="E8" i="8"/>
  <c r="F8" i="8" s="1"/>
  <c r="C9" i="8"/>
  <c r="E9" i="8"/>
  <c r="L6" i="9" l="1"/>
  <c r="K6" i="9"/>
  <c r="A8" i="9"/>
  <c r="J7" i="9"/>
  <c r="F7" i="3"/>
  <c r="C8" i="3"/>
  <c r="E8" i="3"/>
  <c r="D8" i="3"/>
  <c r="D9" i="8"/>
  <c r="F9" i="8"/>
  <c r="E10" i="8"/>
  <c r="A9" i="9" l="1"/>
  <c r="J8" i="9"/>
  <c r="K7" i="9"/>
  <c r="L7" i="9"/>
  <c r="C9" i="3"/>
  <c r="F8" i="3"/>
  <c r="E9" i="3"/>
  <c r="D9" i="3"/>
  <c r="F9" i="3" s="1"/>
  <c r="C10" i="8"/>
  <c r="D10" i="8"/>
  <c r="C11" i="8" s="1"/>
  <c r="K8" i="9" l="1"/>
  <c r="L8" i="9"/>
  <c r="A10" i="9"/>
  <c r="J9" i="9"/>
  <c r="C10" i="3"/>
  <c r="E10" i="3"/>
  <c r="D10" i="3"/>
  <c r="D11" i="8"/>
  <c r="E12" i="8" s="1"/>
  <c r="F10" i="8"/>
  <c r="F11" i="8"/>
  <c r="E11" i="8"/>
  <c r="C12" i="8"/>
  <c r="D12" i="8"/>
  <c r="C13" i="8" s="1"/>
  <c r="L9" i="9" l="1"/>
  <c r="K9" i="9"/>
  <c r="A11" i="9"/>
  <c r="J10" i="9"/>
  <c r="F10" i="3"/>
  <c r="C11" i="3"/>
  <c r="E11" i="3"/>
  <c r="D11" i="3"/>
  <c r="F11" i="3" s="1"/>
  <c r="F12" i="8"/>
  <c r="E13" i="8"/>
  <c r="D13" i="8"/>
  <c r="F13" i="8" s="1"/>
  <c r="A12" i="9" l="1"/>
  <c r="J11" i="9"/>
  <c r="L10" i="9"/>
  <c r="K10" i="9"/>
  <c r="C12" i="3"/>
  <c r="E12" i="3"/>
  <c r="D12" i="3"/>
  <c r="L11" i="9" l="1"/>
  <c r="K11" i="9"/>
  <c r="A13" i="9"/>
  <c r="J13" i="9" s="1"/>
  <c r="F12" i="3"/>
  <c r="C13" i="3"/>
  <c r="E13" i="3"/>
  <c r="D13" i="3"/>
  <c r="F13" i="3" s="1"/>
  <c r="K13" i="9" l="1"/>
  <c r="L13" i="9"/>
  <c r="K12" i="9"/>
  <c r="L12" i="9"/>
  <c r="L14" i="9" l="1"/>
  <c r="K14" i="9"/>
  <c r="B2" i="10" s="1"/>
  <c r="D2" i="10" s="1"/>
  <c r="B4" i="10" s="1"/>
  <c r="B6" i="10" s="1"/>
</calcChain>
</file>

<file path=xl/sharedStrings.xml><?xml version="1.0" encoding="utf-8"?>
<sst xmlns="http://schemas.openxmlformats.org/spreadsheetml/2006/main" count="145" uniqueCount="75">
  <si>
    <t>Parameter</t>
  </si>
  <si>
    <t>Value</t>
  </si>
  <si>
    <t>State</t>
  </si>
  <si>
    <t>Cost</t>
  </si>
  <si>
    <t>Utility</t>
  </si>
  <si>
    <t>Indian healthcare payer.</t>
  </si>
  <si>
    <t>1 year.</t>
  </si>
  <si>
    <t>Controlled → Controlled</t>
  </si>
  <si>
    <t>Controlled → Complications</t>
  </si>
  <si>
    <t>Controlled → Death</t>
  </si>
  <si>
    <t>Complications → Controlled</t>
  </si>
  <si>
    <t>Complications → Complications</t>
  </si>
  <si>
    <t>Complications → Death</t>
  </si>
  <si>
    <t>Transition Probabilities — Empagliflozin</t>
  </si>
  <si>
    <t>Transition Probabilities — Sitagliptin</t>
  </si>
  <si>
    <t>Costs (Annual — INR)</t>
  </si>
  <si>
    <t>Controlled</t>
  </si>
  <si>
    <t>Complications</t>
  </si>
  <si>
    <t>Death</t>
  </si>
  <si>
    <t>Drug Costs Per Year</t>
  </si>
  <si>
    <t>Drug</t>
  </si>
  <si>
    <t>Empagliflozin</t>
  </si>
  <si>
    <t>Sitagliptin</t>
  </si>
  <si>
    <t>Utilities</t>
  </si>
  <si>
    <t>Other Parameters</t>
  </si>
  <si>
    <t>Discount Rate</t>
  </si>
  <si>
    <t>Initial Cohort</t>
  </si>
  <si>
    <t>Time Horizon (cycles)</t>
  </si>
  <si>
    <t>From/To</t>
  </si>
  <si>
    <t>Cost-Effectiveness Analysis of Empagliflozin Versus Sitagliptin in Type 2 Diabetes Mellitus Using a Markov Model: Indian Payer Perspective</t>
  </si>
  <si>
    <t>Objective</t>
  </si>
  <si>
    <t>To evaluate the cost-effectiveness of empagliflozin compared with sitagliptin in adults with type 2 diabetes inadequately controlled on metformin.</t>
  </si>
  <si>
    <t>Perspective</t>
  </si>
  <si>
    <t>Model Type</t>
  </si>
  <si>
    <t>Cohort Markov model.</t>
  </si>
  <si>
    <t>Health States</t>
  </si>
  <si>
    <t>Cycle Length</t>
  </si>
  <si>
    <t>Time Horizon</t>
  </si>
  <si>
    <t>10 years.</t>
  </si>
  <si>
    <t>3% annually for costs and outcomes.</t>
  </si>
  <si>
    <t>Population</t>
  </si>
  <si>
    <t>Hypothetical cohort of 1000 adult patients with T2DM.</t>
  </si>
  <si>
    <t>Cycle</t>
  </si>
  <si>
    <t>Total</t>
  </si>
  <si>
    <t>Alive</t>
  </si>
  <si>
    <t>Drug Cost</t>
  </si>
  <si>
    <t>State Cost</t>
  </si>
  <si>
    <t>Total Cost</t>
  </si>
  <si>
    <t>Total QALY</t>
  </si>
  <si>
    <t>Discount</t>
  </si>
  <si>
    <t>Disc Cost</t>
  </si>
  <si>
    <t>Disc QALY</t>
  </si>
  <si>
    <t>TOTAL</t>
  </si>
  <si>
    <t>Outcome</t>
  </si>
  <si>
    <t>Increment</t>
  </si>
  <si>
    <t>Total Discounted Cost</t>
  </si>
  <si>
    <t>Total Discounted QALY</t>
  </si>
  <si>
    <t>Incremental Cost</t>
  </si>
  <si>
    <t>Incremental QALY</t>
  </si>
  <si>
    <t>ICER (₹ per QALY)</t>
  </si>
  <si>
    <t>EMPAGLIFLOZIN ARM</t>
  </si>
  <si>
    <t>SITAGLIPTIN ARM</t>
  </si>
  <si>
    <t>Check</t>
  </si>
  <si>
    <t>Status</t>
  </si>
  <si>
    <t>Population constant</t>
  </si>
  <si>
    <t>OK</t>
  </si>
  <si>
    <t>Transition rows sum to 1</t>
  </si>
  <si>
    <t>No negative values</t>
  </si>
  <si>
    <t>Totals calculated</t>
  </si>
  <si>
    <t>1.Controlled diabetes</t>
  </si>
  <si>
    <t>2.Diabetes with complications</t>
  </si>
  <si>
    <t>3.Death</t>
  </si>
  <si>
    <t>Key Findings</t>
  </si>
  <si>
    <t>Empagliflozin was associated with lower costs and higher QALYs compared with sitagliptin and was therefore dominant.</t>
  </si>
  <si>
    <t>Over a 10-year time horizon, empagliflozin was associated with lower total costs and higher quality-adjusted life years (QALYs) compared with sitagliptin. Therefore, empagliflozin is considered a dominant treatment strategy from the payer perspective.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</si>
</sst>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1" fillId="0" borderId="0" xfId="0" applyFont="1"/>
    <xf numFmtId="2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170" fontId="0" fillId="0" borderId="8" xfId="0" applyNumberFormat="1" applyBorder="1" applyAlignment="1">
      <alignment vertical="center" wrapText="1"/>
    </xf>
    <xf numFmtId="170" fontId="0" fillId="0" borderId="7" xfId="0" applyNumberFormat="1" applyBorder="1" applyAlignment="1">
      <alignment vertical="center" wrapText="1"/>
    </xf>
    <xf numFmtId="170" fontId="0" fillId="0" borderId="0" xfId="0" applyNumberForma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/>
    </xf>
    <xf numFmtId="170" fontId="0" fillId="0" borderId="0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170" fontId="0" fillId="0" borderId="17" xfId="0" applyNumberFormat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170" fontId="1" fillId="4" borderId="19" xfId="0" applyNumberFormat="1" applyFont="1" applyFill="1" applyBorder="1" applyAlignment="1">
      <alignment horizontal="center" vertical="center"/>
    </xf>
    <xf numFmtId="2" fontId="1" fillId="4" borderId="20" xfId="0" applyNumberFormat="1" applyFont="1" applyFill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70" fontId="0" fillId="0" borderId="12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2" fontId="1" fillId="4" borderId="19" xfId="0" applyNumberFormat="1" applyFont="1" applyFill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2" fontId="0" fillId="5" borderId="19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wrapText="1"/>
    </xf>
    <xf numFmtId="0" fontId="1" fillId="4" borderId="29" xfId="0" applyFont="1" applyFill="1" applyBorder="1" applyAlignment="1">
      <alignment horizontal="center" wrapText="1"/>
    </xf>
    <xf numFmtId="0" fontId="1" fillId="4" borderId="22" xfId="0" applyFont="1" applyFill="1" applyBorder="1" applyAlignment="1">
      <alignment horizontal="center" wrapText="1"/>
    </xf>
    <xf numFmtId="0" fontId="1" fillId="4" borderId="23" xfId="0" applyFont="1" applyFill="1" applyBorder="1" applyAlignment="1">
      <alignment horizontal="center" wrapText="1"/>
    </xf>
    <xf numFmtId="0" fontId="1" fillId="4" borderId="24" xfId="0" applyFont="1" applyFill="1" applyBorder="1" applyAlignment="1">
      <alignment horizontal="center" wrapText="1"/>
    </xf>
    <xf numFmtId="2" fontId="0" fillId="0" borderId="0" xfId="0" applyNumberFormat="1" applyBorder="1" applyAlignment="1">
      <alignment horizontal="center" wrapText="1"/>
    </xf>
    <xf numFmtId="2" fontId="0" fillId="0" borderId="17" xfId="0" applyNumberFormat="1" applyBorder="1" applyAlignment="1">
      <alignment horizontal="center" wrapText="1"/>
    </xf>
    <xf numFmtId="0" fontId="1" fillId="4" borderId="30" xfId="0" applyFont="1" applyFill="1" applyBorder="1" applyAlignment="1">
      <alignment horizontal="center" wrapText="1"/>
    </xf>
    <xf numFmtId="2" fontId="0" fillId="0" borderId="19" xfId="0" applyNumberFormat="1" applyBorder="1" applyAlignment="1">
      <alignment horizontal="center" wrapText="1"/>
    </xf>
    <xf numFmtId="2" fontId="0" fillId="0" borderId="20" xfId="0" applyNumberFormat="1" applyBorder="1" applyAlignment="1">
      <alignment horizontal="center" wrapText="1"/>
    </xf>
    <xf numFmtId="0" fontId="0" fillId="0" borderId="17" xfId="0" applyBorder="1" applyAlignment="1">
      <alignment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9" xfId="0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1" fillId="4" borderId="15" xfId="0" applyFont="1" applyFill="1" applyBorder="1" applyAlignment="1">
      <alignment vertical="center" wrapText="1"/>
    </xf>
    <xf numFmtId="0" fontId="7" fillId="3" borderId="13" xfId="0" applyFont="1" applyFill="1" applyBorder="1"/>
    <xf numFmtId="0" fontId="5" fillId="3" borderId="14" xfId="0" applyFont="1" applyFill="1" applyBorder="1"/>
    <xf numFmtId="0" fontId="0" fillId="3" borderId="15" xfId="0" applyFill="1" applyBorder="1"/>
    <xf numFmtId="0" fontId="5" fillId="3" borderId="16" xfId="0" applyFont="1" applyFill="1" applyBorder="1"/>
    <xf numFmtId="0" fontId="5" fillId="3" borderId="0" xfId="0" applyFont="1" applyFill="1" applyBorder="1"/>
    <xf numFmtId="0" fontId="0" fillId="3" borderId="17" xfId="0" applyFill="1" applyBorder="1"/>
    <xf numFmtId="0" fontId="2" fillId="3" borderId="16" xfId="0" applyFont="1" applyFill="1" applyBorder="1" applyAlignment="1">
      <alignment vertical="center"/>
    </xf>
    <xf numFmtId="0" fontId="0" fillId="3" borderId="0" xfId="0" applyFill="1" applyBorder="1"/>
    <xf numFmtId="0" fontId="0" fillId="3" borderId="16" xfId="0" applyFill="1" applyBorder="1"/>
    <xf numFmtId="0" fontId="0" fillId="3" borderId="16" xfId="0" applyFill="1" applyBorder="1" applyAlignment="1">
      <alignment horizontal="left" vertical="center" indent="1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1" fillId="4" borderId="32" xfId="0" applyFont="1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Fill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1" fillId="4" borderId="21" xfId="0" applyFont="1" applyFill="1" applyBorder="1" applyAlignment="1">
      <alignment horizontal="left" wrapText="1"/>
    </xf>
    <xf numFmtId="0" fontId="1" fillId="4" borderId="24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2"/>
  <sheetViews>
    <sheetView workbookViewId="0">
      <selection activeCell="J7" sqref="J7"/>
    </sheetView>
  </sheetViews>
  <sheetFormatPr defaultRowHeight="15" x14ac:dyDescent="0.25"/>
  <cols>
    <col min="2" max="2" width="32.28515625" customWidth="1"/>
    <col min="3" max="3" width="10.7109375" bestFit="1" customWidth="1"/>
    <col min="5" max="5" width="32.5703125" customWidth="1"/>
    <col min="6" max="6" width="10.7109375" bestFit="1" customWidth="1"/>
  </cols>
  <sheetData>
    <row r="1" spans="2:6" x14ac:dyDescent="0.25">
      <c r="B1" s="22" t="s">
        <v>13</v>
      </c>
      <c r="C1" s="23"/>
      <c r="E1" s="22" t="s">
        <v>14</v>
      </c>
      <c r="F1" s="23"/>
    </row>
    <row r="2" spans="2:6" x14ac:dyDescent="0.25">
      <c r="B2" s="24"/>
      <c r="C2" s="25"/>
      <c r="E2" s="24"/>
      <c r="F2" s="25"/>
    </row>
    <row r="3" spans="2:6" x14ac:dyDescent="0.25">
      <c r="B3" s="7" t="s">
        <v>0</v>
      </c>
      <c r="C3" s="8" t="s">
        <v>1</v>
      </c>
      <c r="E3" s="9" t="s">
        <v>0</v>
      </c>
      <c r="F3" s="10" t="s">
        <v>1</v>
      </c>
    </row>
    <row r="4" spans="2:6" x14ac:dyDescent="0.25">
      <c r="B4" s="3" t="s">
        <v>7</v>
      </c>
      <c r="C4" s="5">
        <v>0.75</v>
      </c>
      <c r="D4" s="2"/>
      <c r="E4" s="3" t="s">
        <v>7</v>
      </c>
      <c r="F4" s="5">
        <v>0.7</v>
      </c>
    </row>
    <row r="5" spans="2:6" x14ac:dyDescent="0.25">
      <c r="B5" s="3" t="s">
        <v>8</v>
      </c>
      <c r="C5" s="5">
        <v>0.2</v>
      </c>
      <c r="D5" s="2"/>
      <c r="E5" s="3" t="s">
        <v>8</v>
      </c>
      <c r="F5" s="5">
        <v>0.25</v>
      </c>
    </row>
    <row r="6" spans="2:6" x14ac:dyDescent="0.25">
      <c r="B6" s="3" t="s">
        <v>9</v>
      </c>
      <c r="C6" s="5">
        <v>0.05</v>
      </c>
      <c r="D6" s="2"/>
      <c r="E6" s="3" t="s">
        <v>9</v>
      </c>
      <c r="F6" s="5">
        <v>0.05</v>
      </c>
    </row>
    <row r="7" spans="2:6" x14ac:dyDescent="0.25">
      <c r="B7" s="3" t="s">
        <v>10</v>
      </c>
      <c r="C7" s="5">
        <v>0.1</v>
      </c>
      <c r="D7" s="2"/>
      <c r="E7" s="3" t="s">
        <v>10</v>
      </c>
      <c r="F7" s="5">
        <v>0.08</v>
      </c>
    </row>
    <row r="8" spans="2:6" x14ac:dyDescent="0.25">
      <c r="B8" s="3" t="s">
        <v>11</v>
      </c>
      <c r="C8" s="5">
        <v>0.65</v>
      </c>
      <c r="D8" s="2"/>
      <c r="E8" s="3" t="s">
        <v>11</v>
      </c>
      <c r="F8" s="5">
        <v>0.62</v>
      </c>
    </row>
    <row r="9" spans="2:6" x14ac:dyDescent="0.25">
      <c r="B9" s="4" t="s">
        <v>12</v>
      </c>
      <c r="C9" s="6">
        <v>0.25</v>
      </c>
      <c r="D9" s="2"/>
      <c r="E9" s="4" t="s">
        <v>12</v>
      </c>
      <c r="F9" s="6">
        <v>0.3</v>
      </c>
    </row>
    <row r="12" spans="2:6" x14ac:dyDescent="0.25">
      <c r="B12" s="26" t="s">
        <v>15</v>
      </c>
      <c r="C12" s="27"/>
      <c r="E12" s="28" t="s">
        <v>19</v>
      </c>
      <c r="F12" s="29"/>
    </row>
    <row r="13" spans="2:6" x14ac:dyDescent="0.25">
      <c r="B13" s="16" t="s">
        <v>2</v>
      </c>
      <c r="C13" s="15" t="s">
        <v>3</v>
      </c>
      <c r="E13" s="15" t="s">
        <v>20</v>
      </c>
      <c r="F13" s="15" t="s">
        <v>3</v>
      </c>
    </row>
    <row r="14" spans="2:6" x14ac:dyDescent="0.25">
      <c r="B14" s="11" t="s">
        <v>16</v>
      </c>
      <c r="C14" s="31">
        <v>40000</v>
      </c>
      <c r="E14" s="11" t="s">
        <v>21</v>
      </c>
      <c r="F14" s="31">
        <v>45000</v>
      </c>
    </row>
    <row r="15" spans="2:6" x14ac:dyDescent="0.25">
      <c r="B15" s="11" t="s">
        <v>17</v>
      </c>
      <c r="C15" s="31">
        <v>90000</v>
      </c>
      <c r="E15" s="12" t="s">
        <v>22</v>
      </c>
      <c r="F15" s="32">
        <v>30000</v>
      </c>
    </row>
    <row r="16" spans="2:6" x14ac:dyDescent="0.25">
      <c r="B16" s="12" t="s">
        <v>18</v>
      </c>
      <c r="C16" s="32">
        <v>0</v>
      </c>
    </row>
    <row r="18" spans="2:6" x14ac:dyDescent="0.25">
      <c r="B18" s="26" t="s">
        <v>23</v>
      </c>
      <c r="C18" s="27"/>
      <c r="E18" s="26" t="s">
        <v>24</v>
      </c>
      <c r="F18" s="27"/>
    </row>
    <row r="19" spans="2:6" x14ac:dyDescent="0.25">
      <c r="B19" s="16" t="s">
        <v>2</v>
      </c>
      <c r="C19" s="15" t="s">
        <v>4</v>
      </c>
      <c r="E19" s="16" t="s">
        <v>0</v>
      </c>
      <c r="F19" s="15" t="s">
        <v>1</v>
      </c>
    </row>
    <row r="20" spans="2:6" x14ac:dyDescent="0.25">
      <c r="B20" s="11" t="s">
        <v>16</v>
      </c>
      <c r="C20" s="17">
        <v>0.85</v>
      </c>
      <c r="E20" s="11" t="s">
        <v>25</v>
      </c>
      <c r="F20" s="13">
        <v>0.03</v>
      </c>
    </row>
    <row r="21" spans="2:6" x14ac:dyDescent="0.25">
      <c r="B21" s="11" t="s">
        <v>17</v>
      </c>
      <c r="C21" s="13">
        <v>0.65</v>
      </c>
      <c r="E21" s="11" t="s">
        <v>26</v>
      </c>
      <c r="F21" s="13">
        <v>1000</v>
      </c>
    </row>
    <row r="22" spans="2:6" x14ac:dyDescent="0.25">
      <c r="B22" s="12" t="s">
        <v>18</v>
      </c>
      <c r="C22" s="14">
        <v>0</v>
      </c>
      <c r="E22" s="12" t="s">
        <v>27</v>
      </c>
      <c r="F22" s="14">
        <v>10</v>
      </c>
    </row>
  </sheetData>
  <mergeCells count="6">
    <mergeCell ref="B1:C2"/>
    <mergeCell ref="E1:F2"/>
    <mergeCell ref="B12:C12"/>
    <mergeCell ref="E12:F12"/>
    <mergeCell ref="E18:F18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B520-34C6-440F-840A-50E2C9125C0F}">
  <dimension ref="B2:I11"/>
  <sheetViews>
    <sheetView workbookViewId="0">
      <selection activeCell="F14" sqref="F14"/>
    </sheetView>
  </sheetViews>
  <sheetFormatPr defaultRowHeight="15" x14ac:dyDescent="0.25"/>
  <cols>
    <col min="2" max="2" width="13.7109375" customWidth="1"/>
    <col min="3" max="3" width="11.5703125" customWidth="1"/>
    <col min="4" max="4" width="12.5703125" customWidth="1"/>
    <col min="8" max="8" width="28.5703125" customWidth="1"/>
  </cols>
  <sheetData>
    <row r="2" spans="2:9" x14ac:dyDescent="0.25">
      <c r="B2" s="50" t="s">
        <v>28</v>
      </c>
      <c r="C2" s="50" t="s">
        <v>16</v>
      </c>
      <c r="D2" s="50" t="s">
        <v>17</v>
      </c>
      <c r="E2" s="50" t="s">
        <v>18</v>
      </c>
    </row>
    <row r="3" spans="2:9" x14ac:dyDescent="0.25">
      <c r="B3" s="93" t="s">
        <v>16</v>
      </c>
      <c r="C3" s="90">
        <v>0.75</v>
      </c>
      <c r="D3" s="90">
        <v>0.2</v>
      </c>
      <c r="E3" s="84">
        <v>0.05</v>
      </c>
    </row>
    <row r="4" spans="2:9" x14ac:dyDescent="0.25">
      <c r="B4" s="92" t="s">
        <v>17</v>
      </c>
      <c r="C4" s="90">
        <v>0.1</v>
      </c>
      <c r="D4" s="90">
        <v>0.65</v>
      </c>
      <c r="E4" s="84">
        <v>0.25</v>
      </c>
    </row>
    <row r="5" spans="2:9" ht="15.75" thickBot="1" x14ac:dyDescent="0.3">
      <c r="B5" s="92" t="s">
        <v>18</v>
      </c>
      <c r="C5" s="91">
        <v>0</v>
      </c>
      <c r="D5" s="91">
        <v>0</v>
      </c>
      <c r="E5" s="87">
        <v>1</v>
      </c>
      <c r="H5" s="18"/>
      <c r="I5" s="18"/>
    </row>
    <row r="6" spans="2:9" x14ac:dyDescent="0.25">
      <c r="H6" s="19"/>
      <c r="I6" s="19"/>
    </row>
    <row r="7" spans="2:9" x14ac:dyDescent="0.25">
      <c r="H7" s="19"/>
      <c r="I7" s="19"/>
    </row>
    <row r="8" spans="2:9" x14ac:dyDescent="0.25">
      <c r="H8" s="19"/>
      <c r="I8" s="19"/>
    </row>
    <row r="9" spans="2:9" x14ac:dyDescent="0.25">
      <c r="H9" s="19"/>
      <c r="I9" s="19"/>
    </row>
    <row r="10" spans="2:9" x14ac:dyDescent="0.25">
      <c r="H10" s="19"/>
      <c r="I10" s="19"/>
    </row>
    <row r="11" spans="2:9" x14ac:dyDescent="0.25">
      <c r="H11" s="19"/>
      <c r="I11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9"/>
  <sheetViews>
    <sheetView workbookViewId="0">
      <selection activeCell="E4" sqref="E4"/>
    </sheetView>
  </sheetViews>
  <sheetFormatPr defaultRowHeight="15" x14ac:dyDescent="0.25"/>
  <cols>
    <col min="2" max="2" width="15.7109375" customWidth="1"/>
    <col min="3" max="3" width="12.140625" customWidth="1"/>
    <col min="4" max="4" width="14.42578125" customWidth="1"/>
  </cols>
  <sheetData>
    <row r="1" spans="2:10" x14ac:dyDescent="0.25">
      <c r="J1" s="20"/>
    </row>
    <row r="2" spans="2:10" x14ac:dyDescent="0.25">
      <c r="B2" s="37" t="s">
        <v>28</v>
      </c>
      <c r="C2" s="37" t="s">
        <v>16</v>
      </c>
      <c r="D2" s="37" t="s">
        <v>17</v>
      </c>
      <c r="E2" s="37" t="s">
        <v>18</v>
      </c>
      <c r="G2" s="19"/>
      <c r="H2" s="19"/>
    </row>
    <row r="3" spans="2:10" ht="16.5" customHeight="1" x14ac:dyDescent="0.25">
      <c r="B3" s="72" t="s">
        <v>16</v>
      </c>
      <c r="C3" s="94">
        <v>0.7</v>
      </c>
      <c r="D3" s="94">
        <v>0.25</v>
      </c>
      <c r="E3" s="95">
        <v>0.05</v>
      </c>
      <c r="G3" s="19"/>
      <c r="H3" s="19"/>
      <c r="J3" s="20"/>
    </row>
    <row r="4" spans="2:10" ht="16.5" customHeight="1" x14ac:dyDescent="0.25">
      <c r="B4" s="72" t="s">
        <v>17</v>
      </c>
      <c r="C4" s="94">
        <v>0.08</v>
      </c>
      <c r="D4" s="94">
        <v>0.62</v>
      </c>
      <c r="E4" s="95">
        <v>0.3</v>
      </c>
      <c r="G4" s="19"/>
      <c r="H4" s="19"/>
    </row>
    <row r="5" spans="2:10" ht="15.75" thickBot="1" x14ac:dyDescent="0.3">
      <c r="B5" s="72" t="s">
        <v>18</v>
      </c>
      <c r="C5" s="96">
        <v>0</v>
      </c>
      <c r="D5" s="96">
        <v>0</v>
      </c>
      <c r="E5" s="97">
        <v>1</v>
      </c>
      <c r="G5" s="19"/>
      <c r="H5" s="19"/>
      <c r="J5" s="20"/>
    </row>
    <row r="6" spans="2:10" x14ac:dyDescent="0.25">
      <c r="G6" s="19"/>
      <c r="H6" s="19"/>
    </row>
    <row r="7" spans="2:10" x14ac:dyDescent="0.25">
      <c r="G7" s="19"/>
      <c r="H7" s="19"/>
      <c r="J7" s="20"/>
    </row>
    <row r="9" spans="2:10" x14ac:dyDescent="0.25">
      <c r="J9" s="20"/>
    </row>
    <row r="11" spans="2:10" x14ac:dyDescent="0.25">
      <c r="J11" s="20"/>
    </row>
    <row r="13" spans="2:10" x14ac:dyDescent="0.25">
      <c r="J13" s="20"/>
    </row>
    <row r="15" spans="2:10" x14ac:dyDescent="0.25">
      <c r="J15" s="20"/>
    </row>
    <row r="17" spans="10:10" x14ac:dyDescent="0.25">
      <c r="J17" s="20"/>
    </row>
    <row r="19" spans="10:10" x14ac:dyDescent="0.25">
      <c r="J19" s="2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3"/>
  <sheetViews>
    <sheetView tabSelected="1" workbookViewId="0">
      <selection activeCell="I12" sqref="I12"/>
    </sheetView>
  </sheetViews>
  <sheetFormatPr defaultRowHeight="15" x14ac:dyDescent="0.25"/>
  <cols>
    <col min="3" max="3" width="11.5703125" customWidth="1"/>
    <col min="4" max="4" width="13.5703125" customWidth="1"/>
    <col min="5" max="5" width="10.5703125" bestFit="1" customWidth="1"/>
  </cols>
  <sheetData>
    <row r="1" spans="2:13" ht="15.75" thickBot="1" x14ac:dyDescent="0.3"/>
    <row r="2" spans="2:13" ht="30" x14ac:dyDescent="0.25">
      <c r="B2" s="41" t="s">
        <v>42</v>
      </c>
      <c r="C2" s="42" t="s">
        <v>16</v>
      </c>
      <c r="D2" s="42" t="s">
        <v>17</v>
      </c>
      <c r="E2" s="42" t="s">
        <v>18</v>
      </c>
      <c r="F2" s="43" t="s">
        <v>43</v>
      </c>
      <c r="J2" s="70" t="s">
        <v>28</v>
      </c>
      <c r="K2" s="70" t="s">
        <v>16</v>
      </c>
      <c r="L2" s="70" t="s">
        <v>17</v>
      </c>
      <c r="M2" s="70" t="s">
        <v>18</v>
      </c>
    </row>
    <row r="3" spans="2:13" ht="15.75" customHeight="1" x14ac:dyDescent="0.25">
      <c r="B3" s="73">
        <v>0</v>
      </c>
      <c r="C3" s="38">
        <v>1000</v>
      </c>
      <c r="D3" s="38">
        <v>0</v>
      </c>
      <c r="E3" s="38">
        <v>0</v>
      </c>
      <c r="F3" s="88">
        <f t="shared" ref="F3:F13" si="0">SUM(C3:E3)</f>
        <v>1000</v>
      </c>
      <c r="J3" s="71" t="s">
        <v>16</v>
      </c>
      <c r="K3" s="71">
        <v>0.75</v>
      </c>
      <c r="L3" s="71">
        <v>0.2</v>
      </c>
      <c r="M3" s="71">
        <v>0.05</v>
      </c>
    </row>
    <row r="4" spans="2:13" ht="14.25" customHeight="1" x14ac:dyDescent="0.25">
      <c r="B4" s="85">
        <v>1</v>
      </c>
      <c r="C4" s="38">
        <v>750</v>
      </c>
      <c r="D4" s="38">
        <v>200</v>
      </c>
      <c r="E4" s="38">
        <v>50</v>
      </c>
      <c r="F4" s="88">
        <f t="shared" si="0"/>
        <v>1000</v>
      </c>
      <c r="J4" s="71" t="s">
        <v>17</v>
      </c>
      <c r="K4" s="71">
        <v>0.1</v>
      </c>
      <c r="L4" s="71">
        <v>0.65</v>
      </c>
      <c r="M4" s="71">
        <v>0.25</v>
      </c>
    </row>
    <row r="5" spans="2:13" x14ac:dyDescent="0.25">
      <c r="B5" s="85">
        <f t="shared" ref="B5:B13" si="1">1+B4</f>
        <v>2</v>
      </c>
      <c r="C5" s="38">
        <f t="shared" ref="C5:C13" si="2">(C4*$K$3)+(D4*$K$4)+(E4*$K$5)</f>
        <v>582.5</v>
      </c>
      <c r="D5" s="38">
        <f t="shared" ref="D5:D13" si="3">(C4*$L$3)+(D4*$L$4)+(E4*$L$5)</f>
        <v>280</v>
      </c>
      <c r="E5" s="38">
        <f t="shared" ref="E5:E13" si="4">(C4*$M$3)+(D4*$M$4)+(E4*$M$5)</f>
        <v>137.5</v>
      </c>
      <c r="F5" s="88">
        <f t="shared" si="0"/>
        <v>1000</v>
      </c>
      <c r="J5" s="71" t="s">
        <v>18</v>
      </c>
      <c r="K5" s="71">
        <v>0</v>
      </c>
      <c r="L5" s="71">
        <v>0</v>
      </c>
      <c r="M5" s="71">
        <v>1</v>
      </c>
    </row>
    <row r="6" spans="2:13" x14ac:dyDescent="0.25">
      <c r="B6" s="85">
        <f t="shared" si="1"/>
        <v>3</v>
      </c>
      <c r="C6" s="38">
        <f t="shared" si="2"/>
        <v>464.875</v>
      </c>
      <c r="D6" s="38">
        <f t="shared" si="3"/>
        <v>298.5</v>
      </c>
      <c r="E6" s="38">
        <f t="shared" si="4"/>
        <v>236.625</v>
      </c>
      <c r="F6" s="88">
        <f t="shared" si="0"/>
        <v>1000</v>
      </c>
    </row>
    <row r="7" spans="2:13" x14ac:dyDescent="0.25">
      <c r="B7" s="85">
        <f t="shared" si="1"/>
        <v>4</v>
      </c>
      <c r="C7" s="38">
        <f t="shared" si="2"/>
        <v>378.50625000000002</v>
      </c>
      <c r="D7" s="38">
        <f t="shared" si="3"/>
        <v>287</v>
      </c>
      <c r="E7" s="38">
        <f t="shared" si="4"/>
        <v>334.49374999999998</v>
      </c>
      <c r="F7" s="88">
        <f t="shared" si="0"/>
        <v>1000</v>
      </c>
    </row>
    <row r="8" spans="2:13" x14ac:dyDescent="0.25">
      <c r="B8" s="85">
        <f t="shared" si="1"/>
        <v>5</v>
      </c>
      <c r="C8" s="38">
        <f t="shared" si="2"/>
        <v>312.57968750000003</v>
      </c>
      <c r="D8" s="38">
        <f t="shared" si="3"/>
        <v>262.25125000000003</v>
      </c>
      <c r="E8" s="38">
        <f t="shared" si="4"/>
        <v>425.1690625</v>
      </c>
      <c r="F8" s="88">
        <f t="shared" si="0"/>
        <v>1000.0000000000001</v>
      </c>
    </row>
    <row r="9" spans="2:13" x14ac:dyDescent="0.25">
      <c r="B9" s="85">
        <f t="shared" si="1"/>
        <v>6</v>
      </c>
      <c r="C9" s="38">
        <f t="shared" si="2"/>
        <v>260.659890625</v>
      </c>
      <c r="D9" s="38">
        <f t="shared" si="3"/>
        <v>232.97925000000004</v>
      </c>
      <c r="E9" s="38">
        <f t="shared" si="4"/>
        <v>506.36085937500002</v>
      </c>
      <c r="F9" s="88">
        <f t="shared" si="0"/>
        <v>1000</v>
      </c>
    </row>
    <row r="10" spans="2:13" x14ac:dyDescent="0.25">
      <c r="B10" s="85">
        <f t="shared" si="1"/>
        <v>7</v>
      </c>
      <c r="C10" s="38">
        <f t="shared" si="2"/>
        <v>218.79284296874999</v>
      </c>
      <c r="D10" s="38">
        <f t="shared" si="3"/>
        <v>203.56849062500004</v>
      </c>
      <c r="E10" s="38">
        <f t="shared" si="4"/>
        <v>577.63866640624997</v>
      </c>
      <c r="F10" s="88">
        <f t="shared" si="0"/>
        <v>1000</v>
      </c>
    </row>
    <row r="11" spans="2:13" x14ac:dyDescent="0.25">
      <c r="B11" s="85">
        <f t="shared" si="1"/>
        <v>8</v>
      </c>
      <c r="C11" s="38">
        <f t="shared" si="2"/>
        <v>184.45148128906251</v>
      </c>
      <c r="D11" s="38">
        <f t="shared" si="3"/>
        <v>176.07808750000004</v>
      </c>
      <c r="E11" s="38">
        <f t="shared" si="4"/>
        <v>639.47043121093748</v>
      </c>
      <c r="F11" s="88">
        <f t="shared" si="0"/>
        <v>1000</v>
      </c>
    </row>
    <row r="12" spans="2:13" x14ac:dyDescent="0.25">
      <c r="B12" s="85">
        <f t="shared" si="1"/>
        <v>9</v>
      </c>
      <c r="C12" s="38">
        <f t="shared" si="2"/>
        <v>155.9464197167969</v>
      </c>
      <c r="D12" s="38">
        <f t="shared" si="3"/>
        <v>151.34105313281253</v>
      </c>
      <c r="E12" s="38">
        <f t="shared" si="4"/>
        <v>692.71252715039066</v>
      </c>
      <c r="F12" s="88">
        <f t="shared" si="0"/>
        <v>1000.0000000000001</v>
      </c>
    </row>
    <row r="13" spans="2:13" ht="15.75" thickBot="1" x14ac:dyDescent="0.3">
      <c r="B13" s="86">
        <f t="shared" si="1"/>
        <v>10</v>
      </c>
      <c r="C13" s="55">
        <f t="shared" si="2"/>
        <v>132.09392010087893</v>
      </c>
      <c r="D13" s="55">
        <f t="shared" si="3"/>
        <v>129.56096847968752</v>
      </c>
      <c r="E13" s="55">
        <f t="shared" si="4"/>
        <v>738.34511141943358</v>
      </c>
      <c r="F13" s="89">
        <f t="shared" si="0"/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711D-26F8-48BF-AA3B-2412F70B0E50}">
  <dimension ref="B1:M13"/>
  <sheetViews>
    <sheetView workbookViewId="0">
      <selection activeCell="G13" sqref="G13"/>
    </sheetView>
  </sheetViews>
  <sheetFormatPr defaultRowHeight="15" x14ac:dyDescent="0.25"/>
  <cols>
    <col min="3" max="3" width="12.140625" customWidth="1"/>
    <col min="4" max="4" width="13.85546875" customWidth="1"/>
    <col min="5" max="6" width="11.140625" customWidth="1"/>
  </cols>
  <sheetData>
    <row r="1" spans="2:13" ht="15.75" thickBot="1" x14ac:dyDescent="0.3"/>
    <row r="2" spans="2:13" ht="30" x14ac:dyDescent="0.25">
      <c r="B2" s="74" t="s">
        <v>42</v>
      </c>
      <c r="C2" s="75" t="s">
        <v>16</v>
      </c>
      <c r="D2" s="76" t="s">
        <v>17</v>
      </c>
      <c r="E2" s="76" t="s">
        <v>18</v>
      </c>
      <c r="F2" s="77" t="s">
        <v>43</v>
      </c>
    </row>
    <row r="3" spans="2:13" ht="18" customHeight="1" x14ac:dyDescent="0.25">
      <c r="B3" s="78">
        <v>0</v>
      </c>
      <c r="C3" s="79">
        <v>1000</v>
      </c>
      <c r="D3" s="79">
        <v>0</v>
      </c>
      <c r="E3" s="79">
        <v>0</v>
      </c>
      <c r="F3" s="80">
        <v>1000</v>
      </c>
      <c r="J3" s="70" t="s">
        <v>28</v>
      </c>
      <c r="K3" s="70" t="s">
        <v>16</v>
      </c>
      <c r="L3" s="70" t="s">
        <v>17</v>
      </c>
      <c r="M3" s="70" t="s">
        <v>18</v>
      </c>
    </row>
    <row r="4" spans="2:13" ht="14.25" customHeight="1" x14ac:dyDescent="0.25">
      <c r="B4" s="78">
        <v>1</v>
      </c>
      <c r="C4" s="79">
        <f>C3*K4</f>
        <v>700</v>
      </c>
      <c r="D4" s="79">
        <f>C3*L4</f>
        <v>250</v>
      </c>
      <c r="E4" s="79">
        <f>C3*M4</f>
        <v>50</v>
      </c>
      <c r="F4" s="80">
        <f>SUM(C4:E4)</f>
        <v>1000</v>
      </c>
      <c r="J4" s="71" t="s">
        <v>16</v>
      </c>
      <c r="K4" s="71">
        <v>0.7</v>
      </c>
      <c r="L4" s="71">
        <v>0.25</v>
      </c>
      <c r="M4" s="71">
        <v>0.05</v>
      </c>
    </row>
    <row r="5" spans="2:13" ht="14.25" customHeight="1" x14ac:dyDescent="0.25">
      <c r="B5" s="78">
        <v>2</v>
      </c>
      <c r="C5" s="79">
        <f>(C4*$K$4)+(D4*$K$5)+(D4*$K$6)</f>
        <v>509.99999999999994</v>
      </c>
      <c r="D5" s="79">
        <f>(C4*$L$4)+(D4*$L$5)+(E4*$L$6)</f>
        <v>330</v>
      </c>
      <c r="E5" s="79">
        <f>(C4*$M$4)+(D4*$M$5)+(E4*$M$6)</f>
        <v>160</v>
      </c>
      <c r="F5" s="80">
        <f>SUM(C5:E5)</f>
        <v>1000</v>
      </c>
      <c r="J5" s="71" t="s">
        <v>17</v>
      </c>
      <c r="K5" s="71">
        <v>0.08</v>
      </c>
      <c r="L5" s="71">
        <v>0.62</v>
      </c>
      <c r="M5" s="71">
        <v>0.3</v>
      </c>
    </row>
    <row r="6" spans="2:13" x14ac:dyDescent="0.25">
      <c r="B6" s="78">
        <v>3</v>
      </c>
      <c r="C6" s="79">
        <f>(C5*$K$4)+(D5*$K$5)+(D5*$K$6)</f>
        <v>383.39999999999992</v>
      </c>
      <c r="D6" s="79">
        <f>(C5*$L$4)+(D5*$L$5)+(E5*$L$6)</f>
        <v>332.09999999999997</v>
      </c>
      <c r="E6" s="79">
        <f t="shared" ref="E6:E12" si="0">(C5*$M$4)+(D5*$M$5)+(E5*$M$6)</f>
        <v>284.5</v>
      </c>
      <c r="F6" s="80">
        <f t="shared" ref="F6:F13" si="1">SUM(C6:E6)</f>
        <v>999.99999999999989</v>
      </c>
      <c r="J6" s="71" t="s">
        <v>18</v>
      </c>
      <c r="K6" s="71">
        <v>0</v>
      </c>
      <c r="L6" s="71">
        <v>0</v>
      </c>
      <c r="M6" s="71">
        <v>1</v>
      </c>
    </row>
    <row r="7" spans="2:13" x14ac:dyDescent="0.25">
      <c r="B7" s="78">
        <v>4</v>
      </c>
      <c r="C7" s="79">
        <f t="shared" ref="C7:C13" si="2">(C6*$K$4)+(D6*$K$5)+(D6*$K$6)</f>
        <v>294.94799999999992</v>
      </c>
      <c r="D7" s="79">
        <f t="shared" ref="D7:D13" si="3">(C6*$L$4)+(D6*$L$5)+(E6*$L$6)</f>
        <v>301.75199999999995</v>
      </c>
      <c r="E7" s="79">
        <f t="shared" si="0"/>
        <v>403.29999999999995</v>
      </c>
      <c r="F7" s="80">
        <f t="shared" si="1"/>
        <v>999.99999999999977</v>
      </c>
    </row>
    <row r="8" spans="2:13" x14ac:dyDescent="0.25">
      <c r="B8" s="78">
        <v>5</v>
      </c>
      <c r="C8" s="79">
        <f t="shared" si="2"/>
        <v>230.60375999999994</v>
      </c>
      <c r="D8" s="79">
        <f t="shared" si="3"/>
        <v>260.82323999999994</v>
      </c>
      <c r="E8" s="79">
        <f t="shared" si="0"/>
        <v>508.57299999999992</v>
      </c>
      <c r="F8" s="80">
        <f t="shared" si="1"/>
        <v>999.99999999999977</v>
      </c>
    </row>
    <row r="9" spans="2:13" x14ac:dyDescent="0.25">
      <c r="B9" s="78">
        <v>6</v>
      </c>
      <c r="C9" s="79">
        <f t="shared" si="2"/>
        <v>182.28849119999992</v>
      </c>
      <c r="D9" s="79">
        <f t="shared" si="3"/>
        <v>219.36134879999994</v>
      </c>
      <c r="E9" s="79">
        <f t="shared" si="0"/>
        <v>598.35015999999996</v>
      </c>
      <c r="F9" s="80">
        <f t="shared" si="1"/>
        <v>999.99999999999977</v>
      </c>
    </row>
    <row r="10" spans="2:13" x14ac:dyDescent="0.25">
      <c r="B10" s="78">
        <v>7</v>
      </c>
      <c r="C10" s="79">
        <f t="shared" si="2"/>
        <v>145.15085174399994</v>
      </c>
      <c r="D10" s="79">
        <f t="shared" si="3"/>
        <v>181.57615905599997</v>
      </c>
      <c r="E10" s="79">
        <f t="shared" si="0"/>
        <v>673.27298919999998</v>
      </c>
      <c r="F10" s="80">
        <f t="shared" si="1"/>
        <v>999.99999999999989</v>
      </c>
    </row>
    <row r="11" spans="2:13" x14ac:dyDescent="0.25">
      <c r="B11" s="78">
        <v>8</v>
      </c>
      <c r="C11" s="79">
        <f t="shared" si="2"/>
        <v>116.13168894527995</v>
      </c>
      <c r="D11" s="79">
        <f t="shared" si="3"/>
        <v>148.86493155071997</v>
      </c>
      <c r="E11" s="79">
        <f t="shared" si="0"/>
        <v>735.00337950400001</v>
      </c>
      <c r="F11" s="80">
        <f t="shared" si="1"/>
        <v>1000</v>
      </c>
    </row>
    <row r="12" spans="2:13" x14ac:dyDescent="0.25">
      <c r="B12" s="78">
        <v>9</v>
      </c>
      <c r="C12" s="79">
        <f t="shared" si="2"/>
        <v>93.201376785753553</v>
      </c>
      <c r="D12" s="79">
        <f t="shared" si="3"/>
        <v>121.32917979776637</v>
      </c>
      <c r="E12" s="79">
        <f t="shared" si="0"/>
        <v>785.46944341647998</v>
      </c>
      <c r="F12" s="80">
        <f t="shared" si="1"/>
        <v>999.99999999999989</v>
      </c>
    </row>
    <row r="13" spans="2:13" ht="15.75" thickBot="1" x14ac:dyDescent="0.3">
      <c r="B13" s="81">
        <v>10</v>
      </c>
      <c r="C13" s="82">
        <f t="shared" si="2"/>
        <v>74.947298133848804</v>
      </c>
      <c r="D13" s="82">
        <f t="shared" si="3"/>
        <v>98.524435671053538</v>
      </c>
      <c r="E13" s="82">
        <f>(C12*$M$4)+(D12*$M$5)+(E12*$M$6)</f>
        <v>826.52826619509756</v>
      </c>
      <c r="F13" s="83">
        <f t="shared" si="1"/>
        <v>999.99999999999989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46EB-E46E-4854-9D8B-F3AEC6B8687F}">
  <dimension ref="A1:N30"/>
  <sheetViews>
    <sheetView topLeftCell="A10" workbookViewId="0">
      <selection activeCell="N22" sqref="N22"/>
    </sheetView>
  </sheetViews>
  <sheetFormatPr defaultRowHeight="15" x14ac:dyDescent="0.25"/>
  <cols>
    <col min="1" max="1" width="12.5703125" customWidth="1"/>
    <col min="2" max="2" width="13.5703125" customWidth="1"/>
    <col min="3" max="3" width="14.140625" customWidth="1"/>
    <col min="4" max="4" width="13.7109375" customWidth="1"/>
    <col min="5" max="5" width="11.85546875" customWidth="1"/>
    <col min="6" max="6" width="16.7109375" customWidth="1"/>
    <col min="7" max="8" width="15" bestFit="1" customWidth="1"/>
    <col min="9" max="9" width="12.85546875" customWidth="1"/>
    <col min="10" max="10" width="9.28515625" bestFit="1" customWidth="1"/>
    <col min="11" max="11" width="16" bestFit="1" customWidth="1"/>
    <col min="12" max="12" width="9.28515625" bestFit="1" customWidth="1"/>
    <col min="14" max="14" width="12.28515625" bestFit="1" customWidth="1"/>
  </cols>
  <sheetData>
    <row r="1" spans="1:14" ht="23.25" customHeight="1" x14ac:dyDescent="0.25">
      <c r="A1" s="56"/>
      <c r="B1" s="57"/>
      <c r="C1" s="57"/>
      <c r="D1" s="57"/>
      <c r="E1" s="57"/>
      <c r="F1" s="58" t="s">
        <v>60</v>
      </c>
      <c r="G1" s="57"/>
      <c r="H1" s="57"/>
      <c r="I1" s="57"/>
      <c r="J1" s="57"/>
      <c r="K1" s="57"/>
      <c r="L1" s="59"/>
    </row>
    <row r="2" spans="1:14" ht="30" x14ac:dyDescent="0.25">
      <c r="A2" s="37" t="s">
        <v>42</v>
      </c>
      <c r="B2" s="37" t="s">
        <v>16</v>
      </c>
      <c r="C2" s="37" t="s">
        <v>17</v>
      </c>
      <c r="D2" s="37" t="s">
        <v>18</v>
      </c>
      <c r="E2" s="37" t="s">
        <v>44</v>
      </c>
      <c r="F2" s="37" t="s">
        <v>45</v>
      </c>
      <c r="G2" s="37" t="s">
        <v>46</v>
      </c>
      <c r="H2" s="37" t="s">
        <v>47</v>
      </c>
      <c r="I2" s="37" t="s">
        <v>48</v>
      </c>
      <c r="J2" s="37" t="s">
        <v>49</v>
      </c>
      <c r="K2" s="37" t="s">
        <v>50</v>
      </c>
      <c r="L2" s="37" t="s">
        <v>51</v>
      </c>
    </row>
    <row r="3" spans="1:14" x14ac:dyDescent="0.25">
      <c r="A3" s="36">
        <v>0</v>
      </c>
      <c r="B3" s="38">
        <f>Markov_Empa!C3</f>
        <v>1000</v>
      </c>
      <c r="C3" s="38">
        <f>Markov_Empa!D3</f>
        <v>0</v>
      </c>
      <c r="D3" s="38">
        <f>Markov_Empa!E3</f>
        <v>0</v>
      </c>
      <c r="E3" s="38">
        <f>B3+C3</f>
        <v>1000</v>
      </c>
      <c r="F3" s="39">
        <f>E3*Inputs!$F$14</f>
        <v>45000000</v>
      </c>
      <c r="G3" s="39">
        <f>(B3*Inputs!$C$14)</f>
        <v>40000000</v>
      </c>
      <c r="H3" s="39">
        <f>SUM(F3:G3)</f>
        <v>85000000</v>
      </c>
      <c r="I3" s="38">
        <f>(B3*Inputs!$C$20)+(C3*Inputs!C21)</f>
        <v>850</v>
      </c>
      <c r="J3" s="38">
        <v>1</v>
      </c>
      <c r="K3" s="39">
        <f>H3*J3</f>
        <v>85000000</v>
      </c>
      <c r="L3" s="40">
        <f>I3*J3</f>
        <v>850</v>
      </c>
    </row>
    <row r="4" spans="1:14" x14ac:dyDescent="0.25">
      <c r="A4" s="50">
        <v>1</v>
      </c>
      <c r="B4" s="38">
        <f>Markov_Empa!C4</f>
        <v>750</v>
      </c>
      <c r="C4" s="38">
        <f>Markov_Empa!D4</f>
        <v>200</v>
      </c>
      <c r="D4" s="38">
        <f>Markov_Empa!E4</f>
        <v>50</v>
      </c>
      <c r="E4" s="38">
        <f t="shared" ref="E4:E13" si="0">B4+C4</f>
        <v>950</v>
      </c>
      <c r="F4" s="39">
        <f>E4*Inputs!$F$14</f>
        <v>42750000</v>
      </c>
      <c r="G4" s="39">
        <f>(B4*Inputs!$C$14)</f>
        <v>30000000</v>
      </c>
      <c r="H4" s="39">
        <f t="shared" ref="H4:H13" si="1">SUM(F4:G4)</f>
        <v>72750000</v>
      </c>
      <c r="I4" s="38">
        <f>(B4*Inputs!$C$20)+(C4*Inputs!C22)</f>
        <v>637.5</v>
      </c>
      <c r="J4" s="38">
        <f>1/(1+Inputs!$F$20)^A4</f>
        <v>0.970873786407767</v>
      </c>
      <c r="K4" s="39">
        <f t="shared" ref="K4:K13" si="2">H4*J4</f>
        <v>70631067.961165056</v>
      </c>
      <c r="L4" s="40">
        <f t="shared" ref="L4:L13" si="3">I4*J4</f>
        <v>618.93203883495141</v>
      </c>
    </row>
    <row r="5" spans="1:14" x14ac:dyDescent="0.25">
      <c r="A5" s="50">
        <f>1+A4</f>
        <v>2</v>
      </c>
      <c r="B5" s="38">
        <f>Markov_Empa!C5</f>
        <v>582.5</v>
      </c>
      <c r="C5" s="38">
        <f>Markov_Empa!D5</f>
        <v>280</v>
      </c>
      <c r="D5" s="38">
        <f>Markov_Empa!E5</f>
        <v>137.5</v>
      </c>
      <c r="E5" s="38">
        <f t="shared" si="0"/>
        <v>862.5</v>
      </c>
      <c r="F5" s="39">
        <f>E5*Inputs!$F$14</f>
        <v>38812500</v>
      </c>
      <c r="G5" s="39">
        <f>(B5*Inputs!$C$14)</f>
        <v>23300000</v>
      </c>
      <c r="H5" s="39">
        <f t="shared" si="1"/>
        <v>62112500</v>
      </c>
      <c r="I5" s="38">
        <f>(B5*Inputs!$C$20)+(C5*Inputs!C23)</f>
        <v>495.125</v>
      </c>
      <c r="J5" s="38">
        <f>1/(1+Inputs!$F$20)^A5</f>
        <v>0.94259590913375435</v>
      </c>
      <c r="K5" s="39">
        <f t="shared" si="2"/>
        <v>58546988.406070314</v>
      </c>
      <c r="L5" s="40">
        <f t="shared" si="3"/>
        <v>466.70279950985014</v>
      </c>
    </row>
    <row r="6" spans="1:14" x14ac:dyDescent="0.25">
      <c r="A6" s="50">
        <f t="shared" ref="A6:A13" si="4">1+A5</f>
        <v>3</v>
      </c>
      <c r="B6" s="38">
        <f>Markov_Empa!C6</f>
        <v>464.875</v>
      </c>
      <c r="C6" s="38">
        <f>Markov_Empa!D6</f>
        <v>298.5</v>
      </c>
      <c r="D6" s="38">
        <f>Markov_Empa!E6</f>
        <v>236.625</v>
      </c>
      <c r="E6" s="38">
        <f t="shared" si="0"/>
        <v>763.375</v>
      </c>
      <c r="F6" s="39">
        <f>E6*Inputs!$F$14</f>
        <v>34351875</v>
      </c>
      <c r="G6" s="39">
        <f>(B6*Inputs!$C$14)</f>
        <v>18595000</v>
      </c>
      <c r="H6" s="39">
        <f t="shared" si="1"/>
        <v>52946875</v>
      </c>
      <c r="I6" s="38">
        <f>(B6*Inputs!$C$20)+(C6*Inputs!C24)</f>
        <v>395.14375000000001</v>
      </c>
      <c r="J6" s="38">
        <f>1/(1+Inputs!$F$20)^A6</f>
        <v>0.91514165935315961</v>
      </c>
      <c r="K6" s="39">
        <f t="shared" si="2"/>
        <v>48453891.045064323</v>
      </c>
      <c r="L6" s="40">
        <f t="shared" si="3"/>
        <v>361.61250705803008</v>
      </c>
    </row>
    <row r="7" spans="1:14" x14ac:dyDescent="0.25">
      <c r="A7" s="50">
        <f t="shared" si="4"/>
        <v>4</v>
      </c>
      <c r="B7" s="38">
        <f>Markov_Empa!C7</f>
        <v>378.50625000000002</v>
      </c>
      <c r="C7" s="38">
        <f>Markov_Empa!D7</f>
        <v>287</v>
      </c>
      <c r="D7" s="38">
        <f>Markov_Empa!E7</f>
        <v>334.49374999999998</v>
      </c>
      <c r="E7" s="38">
        <f t="shared" si="0"/>
        <v>665.50625000000002</v>
      </c>
      <c r="F7" s="39">
        <f>E7*Inputs!$F$14</f>
        <v>29947781.25</v>
      </c>
      <c r="G7" s="39">
        <f>(B7*Inputs!$C$14)</f>
        <v>15140250</v>
      </c>
      <c r="H7" s="39">
        <f t="shared" si="1"/>
        <v>45088031.25</v>
      </c>
      <c r="I7" s="38">
        <f>(B7*Inputs!$C$20)+(C7*Inputs!C25)</f>
        <v>321.73031250000003</v>
      </c>
      <c r="J7" s="38">
        <f>1/(1+Inputs!$F$20)^A7</f>
        <v>0.888487047915689</v>
      </c>
      <c r="K7" s="39">
        <f t="shared" si="2"/>
        <v>40060131.781642832</v>
      </c>
      <c r="L7" s="40">
        <f t="shared" si="3"/>
        <v>285.8532155781171</v>
      </c>
    </row>
    <row r="8" spans="1:14" x14ac:dyDescent="0.25">
      <c r="A8" s="50">
        <f t="shared" si="4"/>
        <v>5</v>
      </c>
      <c r="B8" s="38">
        <f>Markov_Empa!C8</f>
        <v>312.57968750000003</v>
      </c>
      <c r="C8" s="38">
        <f>Markov_Empa!D8</f>
        <v>262.25125000000003</v>
      </c>
      <c r="D8" s="38">
        <f>Markov_Empa!E8</f>
        <v>425.1690625</v>
      </c>
      <c r="E8" s="38">
        <f t="shared" si="0"/>
        <v>574.83093750000012</v>
      </c>
      <c r="F8" s="39">
        <f>E8*Inputs!$F$14</f>
        <v>25867392.187500004</v>
      </c>
      <c r="G8" s="39">
        <f>(B8*Inputs!$C$14)</f>
        <v>12503187.500000002</v>
      </c>
      <c r="H8" s="39">
        <f t="shared" si="1"/>
        <v>38370579.687500007</v>
      </c>
      <c r="I8" s="38">
        <f>(B8*Inputs!$C$20)+(C8*Inputs!C26)</f>
        <v>265.69273437500004</v>
      </c>
      <c r="J8" s="38">
        <f>1/(1+Inputs!$F$20)^A8</f>
        <v>0.86260878438416411</v>
      </c>
      <c r="K8" s="39">
        <f t="shared" si="2"/>
        <v>33098799.100350082</v>
      </c>
      <c r="L8" s="40">
        <f t="shared" si="3"/>
        <v>229.18888661892339</v>
      </c>
    </row>
    <row r="9" spans="1:14" x14ac:dyDescent="0.25">
      <c r="A9" s="50">
        <f t="shared" si="4"/>
        <v>6</v>
      </c>
      <c r="B9" s="38">
        <f>Markov_Empa!C9</f>
        <v>260.659890625</v>
      </c>
      <c r="C9" s="38">
        <f>Markov_Empa!D9</f>
        <v>232.97925000000004</v>
      </c>
      <c r="D9" s="38">
        <f>Markov_Empa!E9</f>
        <v>506.36085937500002</v>
      </c>
      <c r="E9" s="38">
        <f t="shared" si="0"/>
        <v>493.63914062500004</v>
      </c>
      <c r="F9" s="39">
        <f>E9*Inputs!$F$14</f>
        <v>22213761.328125</v>
      </c>
      <c r="G9" s="39">
        <f>(B9*Inputs!$C$14)</f>
        <v>10426395.625</v>
      </c>
      <c r="H9" s="39">
        <f t="shared" si="1"/>
        <v>32640156.953125</v>
      </c>
      <c r="I9" s="38">
        <f>(B9*Inputs!$C$20)+(C9*Inputs!C27)</f>
        <v>221.56090703125</v>
      </c>
      <c r="J9" s="38">
        <f>1/(1+Inputs!$F$20)^A9</f>
        <v>0.83748425668365445</v>
      </c>
      <c r="K9" s="39">
        <f t="shared" si="2"/>
        <v>27335617.583925705</v>
      </c>
      <c r="L9" s="40">
        <f t="shared" si="3"/>
        <v>185.55377153522267</v>
      </c>
    </row>
    <row r="10" spans="1:14" x14ac:dyDescent="0.25">
      <c r="A10" s="50">
        <f t="shared" si="4"/>
        <v>7</v>
      </c>
      <c r="B10" s="38">
        <f>Markov_Empa!C10</f>
        <v>218.79284296874999</v>
      </c>
      <c r="C10" s="38">
        <f>Markov_Empa!D10</f>
        <v>203.56849062500004</v>
      </c>
      <c r="D10" s="38">
        <f>Markov_Empa!E10</f>
        <v>577.63866640624997</v>
      </c>
      <c r="E10" s="38">
        <f t="shared" si="0"/>
        <v>422.36133359375003</v>
      </c>
      <c r="F10" s="39">
        <f>E10*Inputs!$F$14</f>
        <v>19006260.01171875</v>
      </c>
      <c r="G10" s="39">
        <f>(B10*Inputs!$C$14)</f>
        <v>8751713.71875</v>
      </c>
      <c r="H10" s="39">
        <f t="shared" si="1"/>
        <v>27757973.73046875</v>
      </c>
      <c r="I10" s="38">
        <f>(B10*Inputs!$C$20)+(C10*Inputs!C28)</f>
        <v>185.97391652343748</v>
      </c>
      <c r="J10" s="38">
        <f>1/(1+Inputs!$F$20)^A10</f>
        <v>0.81309151134335378</v>
      </c>
      <c r="K10" s="39">
        <f t="shared" si="2"/>
        <v>22569772.812335949</v>
      </c>
      <c r="L10" s="40">
        <f t="shared" si="3"/>
        <v>151.21381285648451</v>
      </c>
    </row>
    <row r="11" spans="1:14" x14ac:dyDescent="0.25">
      <c r="A11" s="50">
        <f t="shared" si="4"/>
        <v>8</v>
      </c>
      <c r="B11" s="38">
        <f>Markov_Empa!C11</f>
        <v>184.45148128906251</v>
      </c>
      <c r="C11" s="38">
        <f>Markov_Empa!D11</f>
        <v>176.07808750000004</v>
      </c>
      <c r="D11" s="38">
        <f>Markov_Empa!E11</f>
        <v>639.47043121093748</v>
      </c>
      <c r="E11" s="38">
        <f t="shared" si="0"/>
        <v>360.52956878906252</v>
      </c>
      <c r="F11" s="39">
        <f>E11*Inputs!$F$14</f>
        <v>16223830.595507814</v>
      </c>
      <c r="G11" s="39">
        <f>(B11*Inputs!$C$14)</f>
        <v>7378059.2515625004</v>
      </c>
      <c r="H11" s="39">
        <f t="shared" si="1"/>
        <v>23601889.847070314</v>
      </c>
      <c r="I11" s="38">
        <f>(B11*Inputs!$C$20)+(C11*Inputs!C29)</f>
        <v>156.78375909570315</v>
      </c>
      <c r="J11" s="38">
        <f>1/(1+Inputs!$F$20)^A11</f>
        <v>0.78940923431393573</v>
      </c>
      <c r="K11" s="39">
        <f t="shared" si="2"/>
        <v>18631549.79253763</v>
      </c>
      <c r="L11" s="40">
        <f t="shared" si="3"/>
        <v>123.76654722059958</v>
      </c>
    </row>
    <row r="12" spans="1:14" x14ac:dyDescent="0.25">
      <c r="A12" s="50">
        <f t="shared" si="4"/>
        <v>9</v>
      </c>
      <c r="B12" s="38">
        <f>Markov_Empa!C12</f>
        <v>155.9464197167969</v>
      </c>
      <c r="C12" s="38">
        <f>Markov_Empa!D12</f>
        <v>151.34105313281253</v>
      </c>
      <c r="D12" s="38">
        <f>Markov_Empa!E12</f>
        <v>692.71252715039066</v>
      </c>
      <c r="E12" s="38">
        <f t="shared" si="0"/>
        <v>307.28747284960946</v>
      </c>
      <c r="F12" s="39">
        <f>E12*Inputs!$F$14</f>
        <v>13827936.278232425</v>
      </c>
      <c r="G12" s="39">
        <f>(B12*Inputs!$C$14)</f>
        <v>6237856.7886718763</v>
      </c>
      <c r="H12" s="39">
        <f t="shared" si="1"/>
        <v>20065793.066904303</v>
      </c>
      <c r="I12" s="38">
        <f>(B12*Inputs!$C$20)+(C12*Inputs!C30)</f>
        <v>132.55445675927737</v>
      </c>
      <c r="J12" s="38">
        <f>1/(1+Inputs!$F$20)^A12</f>
        <v>0.76641673234362695</v>
      </c>
      <c r="K12" s="39">
        <f t="shared" si="2"/>
        <v>15378759.5542202</v>
      </c>
      <c r="L12" s="40">
        <f t="shared" si="3"/>
        <v>101.59195360702996</v>
      </c>
    </row>
    <row r="13" spans="1:14" x14ac:dyDescent="0.25">
      <c r="A13" s="50">
        <f t="shared" si="4"/>
        <v>10</v>
      </c>
      <c r="B13" s="61">
        <f>Markov_Empa!C13</f>
        <v>132.09392010087893</v>
      </c>
      <c r="C13" s="62">
        <f>Markov_Empa!D13</f>
        <v>129.56096847968752</v>
      </c>
      <c r="D13" s="62">
        <f>Markov_Empa!E13</f>
        <v>738.34511141943358</v>
      </c>
      <c r="E13" s="62">
        <f t="shared" si="0"/>
        <v>261.65488858056642</v>
      </c>
      <c r="F13" s="63">
        <f>E13*Inputs!$F$14</f>
        <v>11774469.98612549</v>
      </c>
      <c r="G13" s="63">
        <f>(B13*Inputs!$C$14)</f>
        <v>5283756.804035157</v>
      </c>
      <c r="H13" s="63">
        <f t="shared" si="1"/>
        <v>17058226.790160649</v>
      </c>
      <c r="I13" s="62">
        <f>(B13*Inputs!$C$20)+(C13*Inputs!C31)</f>
        <v>112.27983208574709</v>
      </c>
      <c r="J13" s="62">
        <f>1/(1+Inputs!$F$20)^A13</f>
        <v>0.74409391489672516</v>
      </c>
      <c r="K13" s="63">
        <f t="shared" si="2"/>
        <v>12692922.753486834</v>
      </c>
      <c r="L13" s="64">
        <f t="shared" si="3"/>
        <v>83.546739820630492</v>
      </c>
    </row>
    <row r="14" spans="1:14" ht="15.75" thickBot="1" x14ac:dyDescent="0.3">
      <c r="A14" s="51"/>
      <c r="B14" s="60"/>
      <c r="C14" s="60"/>
      <c r="D14" s="60"/>
      <c r="E14" s="60"/>
      <c r="F14" s="60"/>
      <c r="G14" s="60"/>
      <c r="H14" s="60"/>
      <c r="I14" s="60"/>
      <c r="J14" s="52" t="s">
        <v>52</v>
      </c>
      <c r="K14" s="53">
        <f>SUM(K3:K13)</f>
        <v>432399500.79079896</v>
      </c>
      <c r="L14" s="54">
        <f>SUM(L3:L13)</f>
        <v>3457.9622726398393</v>
      </c>
    </row>
    <row r="16" spans="1:14" ht="15.75" thickBot="1" x14ac:dyDescent="0.3">
      <c r="N16" s="21"/>
    </row>
    <row r="17" spans="1:14" ht="18.75" x14ac:dyDescent="0.25">
      <c r="A17" s="56"/>
      <c r="B17" s="57"/>
      <c r="C17" s="57"/>
      <c r="D17" s="57"/>
      <c r="E17" s="57"/>
      <c r="F17" s="58" t="s">
        <v>61</v>
      </c>
      <c r="G17" s="57"/>
      <c r="H17" s="57"/>
      <c r="I17" s="57"/>
      <c r="J17" s="57"/>
      <c r="K17" s="57"/>
      <c r="L17" s="59"/>
      <c r="N17" s="21"/>
    </row>
    <row r="18" spans="1:14" ht="30" x14ac:dyDescent="0.25">
      <c r="A18" s="50" t="s">
        <v>42</v>
      </c>
      <c r="B18" s="50" t="str">
        <f>Markov_Sita!C2</f>
        <v>Controlled</v>
      </c>
      <c r="C18" s="50" t="str">
        <f>Markov_Sita!D2</f>
        <v>Complications</v>
      </c>
      <c r="D18" s="50" t="str">
        <f>Markov_Sita!E2</f>
        <v>Death</v>
      </c>
      <c r="E18" s="37" t="s">
        <v>44</v>
      </c>
      <c r="F18" s="37" t="s">
        <v>45</v>
      </c>
      <c r="G18" s="37" t="s">
        <v>46</v>
      </c>
      <c r="H18" s="37" t="s">
        <v>47</v>
      </c>
      <c r="I18" s="37" t="s">
        <v>48</v>
      </c>
      <c r="J18" s="37" t="s">
        <v>49</v>
      </c>
      <c r="K18" s="37" t="s">
        <v>50</v>
      </c>
      <c r="L18" s="37" t="s">
        <v>51</v>
      </c>
    </row>
    <row r="19" spans="1:14" x14ac:dyDescent="0.25">
      <c r="A19" s="65">
        <f>Markov_Sita!B3</f>
        <v>0</v>
      </c>
      <c r="B19" s="38">
        <f>Markov_Sita!C3</f>
        <v>1000</v>
      </c>
      <c r="C19" s="38">
        <f>Markov_Sita!D3</f>
        <v>0</v>
      </c>
      <c r="D19" s="38">
        <f>Markov_Sita!E3</f>
        <v>0</v>
      </c>
      <c r="E19" s="38">
        <f>SUM(B19:C19)</f>
        <v>1000</v>
      </c>
      <c r="F19" s="39">
        <f>E19*Inputs!$F$15</f>
        <v>30000000</v>
      </c>
      <c r="G19" s="39">
        <f>(B19*Inputs!$C$14)+(Cost_QALYs!C19*Inputs!$C$15)</f>
        <v>40000000</v>
      </c>
      <c r="H19" s="39">
        <f>SUM(F19:G19)</f>
        <v>70000000</v>
      </c>
      <c r="I19" s="38">
        <f>(B19*Inputs!$C$20)</f>
        <v>850</v>
      </c>
      <c r="J19" s="38">
        <f>1/(1+Inputs!$F$20)^A19</f>
        <v>1</v>
      </c>
      <c r="K19" s="39">
        <f>J19*H19</f>
        <v>70000000</v>
      </c>
      <c r="L19" s="40">
        <f>J19*I19</f>
        <v>850</v>
      </c>
    </row>
    <row r="20" spans="1:14" x14ac:dyDescent="0.25">
      <c r="A20" s="50">
        <f>Markov_Sita!B4</f>
        <v>1</v>
      </c>
      <c r="B20" s="38">
        <f>Markov_Sita!C4</f>
        <v>700</v>
      </c>
      <c r="C20" s="38">
        <f>Markov_Sita!D4</f>
        <v>250</v>
      </c>
      <c r="D20" s="38">
        <f>Markov_Sita!E4</f>
        <v>50</v>
      </c>
      <c r="E20" s="38">
        <f t="shared" ref="E20:E29" si="5">SUM(B20:C20)</f>
        <v>950</v>
      </c>
      <c r="F20" s="39">
        <f>E20*Inputs!$F$15</f>
        <v>28500000</v>
      </c>
      <c r="G20" s="39">
        <f>(B20*Inputs!$C$14)+(Cost_QALYs!C20*Inputs!$C$15)</f>
        <v>50500000</v>
      </c>
      <c r="H20" s="39">
        <f t="shared" ref="H20:H29" si="6">SUM(F20:G20)</f>
        <v>79000000</v>
      </c>
      <c r="I20" s="38">
        <f>(B20*Inputs!$C$20)</f>
        <v>595</v>
      </c>
      <c r="J20" s="38">
        <f>1/(1+Inputs!$F$20)^A20</f>
        <v>0.970873786407767</v>
      </c>
      <c r="K20" s="39">
        <f t="shared" ref="K20:K29" si="7">J20*H20</f>
        <v>76699029.126213595</v>
      </c>
      <c r="L20" s="40">
        <f t="shared" ref="L20:L29" si="8">J20*I20</f>
        <v>577.66990291262141</v>
      </c>
    </row>
    <row r="21" spans="1:14" x14ac:dyDescent="0.25">
      <c r="A21" s="50">
        <f>Markov_Sita!B5</f>
        <v>2</v>
      </c>
      <c r="B21" s="38">
        <f>Markov_Sita!C5</f>
        <v>509.99999999999994</v>
      </c>
      <c r="C21" s="38">
        <f>Markov_Sita!D5</f>
        <v>330</v>
      </c>
      <c r="D21" s="38">
        <f>Markov_Sita!E5</f>
        <v>160</v>
      </c>
      <c r="E21" s="38">
        <f t="shared" si="5"/>
        <v>840</v>
      </c>
      <c r="F21" s="39">
        <f>E21*Inputs!$F$15</f>
        <v>25200000</v>
      </c>
      <c r="G21" s="39">
        <f>(B21*Inputs!$C$14)+(Cost_QALYs!C21*Inputs!$C$15)</f>
        <v>50100000</v>
      </c>
      <c r="H21" s="39">
        <f t="shared" si="6"/>
        <v>75300000</v>
      </c>
      <c r="I21" s="38">
        <f>(B21*Inputs!$C$20)</f>
        <v>433.49999999999994</v>
      </c>
      <c r="J21" s="38">
        <f>1/(1+Inputs!$F$20)^A21</f>
        <v>0.94259590913375435</v>
      </c>
      <c r="K21" s="39">
        <f t="shared" si="7"/>
        <v>70977471.957771704</v>
      </c>
      <c r="L21" s="40">
        <f t="shared" si="8"/>
        <v>408.61532660948245</v>
      </c>
    </row>
    <row r="22" spans="1:14" x14ac:dyDescent="0.25">
      <c r="A22" s="50">
        <f>Markov_Sita!B6</f>
        <v>3</v>
      </c>
      <c r="B22" s="38">
        <f>Markov_Sita!C6</f>
        <v>383.39999999999992</v>
      </c>
      <c r="C22" s="38">
        <f>Markov_Sita!D6</f>
        <v>332.09999999999997</v>
      </c>
      <c r="D22" s="38">
        <f>Markov_Sita!E6</f>
        <v>284.5</v>
      </c>
      <c r="E22" s="38">
        <f t="shared" si="5"/>
        <v>715.49999999999989</v>
      </c>
      <c r="F22" s="39">
        <f>E22*Inputs!$F$15</f>
        <v>21464999.999999996</v>
      </c>
      <c r="G22" s="39">
        <f>(B22*Inputs!$C$14)+(Cost_QALYs!C22*Inputs!$C$15)</f>
        <v>45224999.999999993</v>
      </c>
      <c r="H22" s="39">
        <f t="shared" si="6"/>
        <v>66689999.999999985</v>
      </c>
      <c r="I22" s="38">
        <f>(B22*Inputs!$C$20)</f>
        <v>325.88999999999993</v>
      </c>
      <c r="J22" s="38">
        <f>1/(1+Inputs!$F$20)^A22</f>
        <v>0.91514165935315961</v>
      </c>
      <c r="K22" s="39">
        <f t="shared" si="7"/>
        <v>61030797.262262203</v>
      </c>
      <c r="L22" s="40">
        <f t="shared" si="8"/>
        <v>298.23551536660113</v>
      </c>
    </row>
    <row r="23" spans="1:14" x14ac:dyDescent="0.25">
      <c r="A23" s="50">
        <f>Markov_Sita!B7</f>
        <v>4</v>
      </c>
      <c r="B23" s="38">
        <f>Markov_Sita!C7</f>
        <v>294.94799999999992</v>
      </c>
      <c r="C23" s="38">
        <f>Markov_Sita!D7</f>
        <v>301.75199999999995</v>
      </c>
      <c r="D23" s="38">
        <f>Markov_Sita!E7</f>
        <v>403.29999999999995</v>
      </c>
      <c r="E23" s="38">
        <f t="shared" si="5"/>
        <v>596.69999999999982</v>
      </c>
      <c r="F23" s="39">
        <f>E23*Inputs!$F$15</f>
        <v>17900999.999999996</v>
      </c>
      <c r="G23" s="39">
        <f>(B23*Inputs!$C$14)+(Cost_QALYs!C23*Inputs!$C$15)</f>
        <v>38955599.999999993</v>
      </c>
      <c r="H23" s="39">
        <f t="shared" si="6"/>
        <v>56856599.999999985</v>
      </c>
      <c r="I23" s="38">
        <f>(B23*Inputs!$C$20)</f>
        <v>250.70579999999993</v>
      </c>
      <c r="J23" s="38">
        <f>1/(1+Inputs!$F$20)^A23</f>
        <v>0.888487047915689</v>
      </c>
      <c r="K23" s="39">
        <f t="shared" si="7"/>
        <v>50516352.688523151</v>
      </c>
      <c r="L23" s="40">
        <f t="shared" si="8"/>
        <v>222.74885613734108</v>
      </c>
    </row>
    <row r="24" spans="1:14" x14ac:dyDescent="0.25">
      <c r="A24" s="50">
        <f>Markov_Sita!B8</f>
        <v>5</v>
      </c>
      <c r="B24" s="38">
        <f>Markov_Sita!C8</f>
        <v>230.60375999999994</v>
      </c>
      <c r="C24" s="38">
        <f>Markov_Sita!D8</f>
        <v>260.82323999999994</v>
      </c>
      <c r="D24" s="38">
        <f>Markov_Sita!E8</f>
        <v>508.57299999999992</v>
      </c>
      <c r="E24" s="38">
        <f t="shared" si="5"/>
        <v>491.42699999999991</v>
      </c>
      <c r="F24" s="39">
        <f>E24*Inputs!$F$15</f>
        <v>14742809.999999998</v>
      </c>
      <c r="G24" s="39">
        <f>(B24*Inputs!$C$14)+(Cost_QALYs!C24*Inputs!$C$15)</f>
        <v>32698241.999999993</v>
      </c>
      <c r="H24" s="39">
        <f t="shared" si="6"/>
        <v>47441051.999999993</v>
      </c>
      <c r="I24" s="38">
        <f>(B24*Inputs!$C$20)</f>
        <v>196.01319599999994</v>
      </c>
      <c r="J24" s="38">
        <f>1/(1+Inputs!$F$20)^A24</f>
        <v>0.86260878438416411</v>
      </c>
      <c r="K24" s="39">
        <f t="shared" si="7"/>
        <v>40923068.195625909</v>
      </c>
      <c r="L24" s="40">
        <f t="shared" si="8"/>
        <v>169.08270472481485</v>
      </c>
    </row>
    <row r="25" spans="1:14" x14ac:dyDescent="0.25">
      <c r="A25" s="50">
        <f>Markov_Sita!B9</f>
        <v>6</v>
      </c>
      <c r="B25" s="38">
        <f>Markov_Sita!C9</f>
        <v>182.28849119999992</v>
      </c>
      <c r="C25" s="38">
        <f>Markov_Sita!D9</f>
        <v>219.36134879999994</v>
      </c>
      <c r="D25" s="38">
        <f>Markov_Sita!E9</f>
        <v>598.35015999999996</v>
      </c>
      <c r="E25" s="38">
        <f t="shared" si="5"/>
        <v>401.64983999999987</v>
      </c>
      <c r="F25" s="39">
        <f>E25*Inputs!$F$15</f>
        <v>12049495.199999996</v>
      </c>
      <c r="G25" s="39">
        <f>(B25*Inputs!$C$14)+(Cost_QALYs!C25*Inputs!$C$15)</f>
        <v>27034061.039999992</v>
      </c>
      <c r="H25" s="39">
        <f t="shared" si="6"/>
        <v>39083556.239999987</v>
      </c>
      <c r="I25" s="38">
        <f>(B25*Inputs!$C$20)</f>
        <v>154.94521751999994</v>
      </c>
      <c r="J25" s="38">
        <f>1/(1+Inputs!$F$20)^A25</f>
        <v>0.83748425668365445</v>
      </c>
      <c r="K25" s="39">
        <f t="shared" si="7"/>
        <v>32731863.046210192</v>
      </c>
      <c r="L25" s="40">
        <f t="shared" si="8"/>
        <v>129.76418032142431</v>
      </c>
    </row>
    <row r="26" spans="1:14" x14ac:dyDescent="0.25">
      <c r="A26" s="50">
        <f>Markov_Sita!B10</f>
        <v>7</v>
      </c>
      <c r="B26" s="38">
        <f>Markov_Sita!C10</f>
        <v>145.15085174399994</v>
      </c>
      <c r="C26" s="38">
        <f>Markov_Sita!D10</f>
        <v>181.57615905599997</v>
      </c>
      <c r="D26" s="38">
        <f>Markov_Sita!E10</f>
        <v>673.27298919999998</v>
      </c>
      <c r="E26" s="38">
        <f t="shared" si="5"/>
        <v>326.7270107999999</v>
      </c>
      <c r="F26" s="39">
        <f>E26*Inputs!$F$15</f>
        <v>9801810.3239999972</v>
      </c>
      <c r="G26" s="39">
        <f>(B26*Inputs!$C$14)+(Cost_QALYs!C26*Inputs!$C$15)</f>
        <v>22147888.384799995</v>
      </c>
      <c r="H26" s="39">
        <f t="shared" si="6"/>
        <v>31949698.708799992</v>
      </c>
      <c r="I26" s="38">
        <f>(B26*Inputs!$C$20)</f>
        <v>123.37822398239994</v>
      </c>
      <c r="J26" s="38">
        <f>1/(1+Inputs!$F$20)^A26</f>
        <v>0.81309151134335378</v>
      </c>
      <c r="K26" s="39">
        <f t="shared" si="7"/>
        <v>25978028.810102984</v>
      </c>
      <c r="L26" s="40">
        <f t="shared" si="8"/>
        <v>100.31778660470839</v>
      </c>
    </row>
    <row r="27" spans="1:14" x14ac:dyDescent="0.25">
      <c r="A27" s="50">
        <f>Markov_Sita!B11</f>
        <v>8</v>
      </c>
      <c r="B27" s="38">
        <f>Markov_Sita!C11</f>
        <v>116.13168894527995</v>
      </c>
      <c r="C27" s="38">
        <f>Markov_Sita!D11</f>
        <v>148.86493155071997</v>
      </c>
      <c r="D27" s="38">
        <f>Markov_Sita!E11</f>
        <v>735.00337950400001</v>
      </c>
      <c r="E27" s="38">
        <f t="shared" si="5"/>
        <v>264.99662049599993</v>
      </c>
      <c r="F27" s="39">
        <f>E27*Inputs!$F$15</f>
        <v>7949898.6148799984</v>
      </c>
      <c r="G27" s="39">
        <f>(B27*Inputs!$C$14)+(Cost_QALYs!C27*Inputs!$C$15)</f>
        <v>18043111.397375997</v>
      </c>
      <c r="H27" s="39">
        <f t="shared" si="6"/>
        <v>25993010.012255996</v>
      </c>
      <c r="I27" s="38">
        <f>(B27*Inputs!$C$20)</f>
        <v>98.711935603487959</v>
      </c>
      <c r="J27" s="38">
        <f>1/(1+Inputs!$F$20)^A27</f>
        <v>0.78940923431393573</v>
      </c>
      <c r="K27" s="39">
        <f t="shared" si="7"/>
        <v>20519122.131289471</v>
      </c>
      <c r="L27" s="40">
        <f t="shared" si="8"/>
        <v>77.924113502395954</v>
      </c>
    </row>
    <row r="28" spans="1:14" x14ac:dyDescent="0.25">
      <c r="A28" s="50">
        <f>Markov_Sita!B12</f>
        <v>9</v>
      </c>
      <c r="B28" s="67">
        <f>Markov_Sita!C12</f>
        <v>93.201376785753553</v>
      </c>
      <c r="C28" s="38">
        <f>Markov_Sita!D12</f>
        <v>121.32917979776637</v>
      </c>
      <c r="D28" s="38">
        <f>Markov_Sita!E12</f>
        <v>785.46944341647998</v>
      </c>
      <c r="E28" s="38">
        <f t="shared" si="5"/>
        <v>214.53055658351991</v>
      </c>
      <c r="F28" s="39">
        <f>E28*Inputs!$F$15</f>
        <v>6435916.697505597</v>
      </c>
      <c r="G28" s="39">
        <f>(B28*Inputs!$C$14)+(Cost_QALYs!C28*Inputs!$C$15)</f>
        <v>14647681.253229115</v>
      </c>
      <c r="H28" s="39">
        <f t="shared" si="6"/>
        <v>21083597.950734712</v>
      </c>
      <c r="I28" s="38">
        <f>(B28*Inputs!$C$20)</f>
        <v>79.221170267890514</v>
      </c>
      <c r="J28" s="38">
        <f>1/(1+Inputs!$F$20)^A28</f>
        <v>0.76641673234362695</v>
      </c>
      <c r="K28" s="39">
        <f t="shared" si="7"/>
        <v>16158822.247448888</v>
      </c>
      <c r="L28" s="40">
        <f t="shared" si="8"/>
        <v>60.716430449154743</v>
      </c>
    </row>
    <row r="29" spans="1:14" x14ac:dyDescent="0.25">
      <c r="A29" s="50">
        <f>Markov_Sita!B13</f>
        <v>10</v>
      </c>
      <c r="B29" s="61">
        <f>Markov_Sita!C13</f>
        <v>74.947298133848804</v>
      </c>
      <c r="C29" s="62">
        <f>Markov_Sita!D13</f>
        <v>98.524435671053538</v>
      </c>
      <c r="D29" s="62">
        <f>Markov_Sita!E13</f>
        <v>826.52826619509756</v>
      </c>
      <c r="E29" s="62">
        <f t="shared" si="5"/>
        <v>173.47173380490233</v>
      </c>
      <c r="F29" s="63">
        <f>E29*Inputs!$F$15</f>
        <v>5204152.0141470702</v>
      </c>
      <c r="G29" s="63">
        <f>(B29*Inputs!$C$14)+(Cost_QALYs!C29*Inputs!$C$15)</f>
        <v>11865091.13574877</v>
      </c>
      <c r="H29" s="63">
        <f t="shared" si="6"/>
        <v>17069243.149895839</v>
      </c>
      <c r="I29" s="62">
        <f>(B29*Inputs!$C$20)</f>
        <v>63.705203413771478</v>
      </c>
      <c r="J29" s="62">
        <f>1/(1+Inputs!$F$20)^A29</f>
        <v>0.74409391489672516</v>
      </c>
      <c r="K29" s="63">
        <f t="shared" si="7"/>
        <v>12701119.959730104</v>
      </c>
      <c r="L29" s="64">
        <f t="shared" si="8"/>
        <v>47.402654207445437</v>
      </c>
    </row>
    <row r="30" spans="1:14" ht="15.75" thickBot="1" x14ac:dyDescent="0.3">
      <c r="A30" s="68"/>
      <c r="B30" s="69"/>
      <c r="C30" s="69"/>
      <c r="D30" s="69"/>
      <c r="E30" s="69"/>
      <c r="F30" s="69"/>
      <c r="G30" s="69"/>
      <c r="H30" s="69"/>
      <c r="I30" s="69"/>
      <c r="J30" s="66" t="s">
        <v>52</v>
      </c>
      <c r="K30" s="53">
        <f>SUM(K19:K29)</f>
        <v>478235675.42517823</v>
      </c>
      <c r="L30" s="54">
        <f>SUM(L19:L29)</f>
        <v>2942.4774708359896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5396-4452-4203-9DA6-03E25292A64A}">
  <dimension ref="A1:F7"/>
  <sheetViews>
    <sheetView workbookViewId="0">
      <selection activeCell="C8" sqref="C8"/>
    </sheetView>
  </sheetViews>
  <sheetFormatPr defaultRowHeight="15" x14ac:dyDescent="0.25"/>
  <cols>
    <col min="1" max="1" width="22.28515625" customWidth="1"/>
    <col min="2" max="3" width="16" bestFit="1" customWidth="1"/>
    <col min="4" max="4" width="15.7109375" bestFit="1" customWidth="1"/>
    <col min="6" max="6" width="41.28515625" customWidth="1"/>
  </cols>
  <sheetData>
    <row r="1" spans="1:6" x14ac:dyDescent="0.25">
      <c r="A1" s="117" t="s">
        <v>53</v>
      </c>
      <c r="B1" s="42" t="s">
        <v>21</v>
      </c>
      <c r="C1" s="42" t="s">
        <v>22</v>
      </c>
      <c r="D1" s="43" t="s">
        <v>54</v>
      </c>
    </row>
    <row r="2" spans="1:6" x14ac:dyDescent="0.25">
      <c r="A2" s="118" t="s">
        <v>55</v>
      </c>
      <c r="B2" s="33">
        <f>Cost_QALYs!K14</f>
        <v>432399500.79079896</v>
      </c>
      <c r="C2" s="33">
        <f>Cost_QALYs!K30</f>
        <v>478235675.42517823</v>
      </c>
      <c r="D2" s="44">
        <f>B2-C2</f>
        <v>-45836174.634379268</v>
      </c>
    </row>
    <row r="3" spans="1:6" x14ac:dyDescent="0.25">
      <c r="A3" s="118" t="s">
        <v>56</v>
      </c>
      <c r="B3" s="34">
        <f>Cost_QALYs!L14</f>
        <v>3457.9622726398393</v>
      </c>
      <c r="C3" s="34">
        <f>Cost_QALYs!L30</f>
        <v>2942.4774708359896</v>
      </c>
      <c r="D3" s="45">
        <f>B3-C3</f>
        <v>515.48480180384968</v>
      </c>
      <c r="F3" s="30"/>
    </row>
    <row r="4" spans="1:6" x14ac:dyDescent="0.25">
      <c r="A4" s="118" t="s">
        <v>57</v>
      </c>
      <c r="B4" s="33">
        <f>D2</f>
        <v>-45836174.634379268</v>
      </c>
      <c r="C4" s="35"/>
      <c r="D4" s="46"/>
    </row>
    <row r="5" spans="1:6" x14ac:dyDescent="0.25">
      <c r="A5" s="118" t="s">
        <v>58</v>
      </c>
      <c r="B5" s="34">
        <f>D3</f>
        <v>515.48480180384968</v>
      </c>
      <c r="C5" s="35"/>
      <c r="D5" s="46"/>
    </row>
    <row r="6" spans="1:6" x14ac:dyDescent="0.25">
      <c r="A6" s="118" t="s">
        <v>59</v>
      </c>
      <c r="B6" s="34">
        <f>B4/B5</f>
        <v>-88918.576210168612</v>
      </c>
      <c r="C6" s="35"/>
      <c r="D6" s="46"/>
    </row>
    <row r="7" spans="1:6" ht="66.75" customHeight="1" thickBot="1" x14ac:dyDescent="0.3">
      <c r="A7" s="47" t="s">
        <v>74</v>
      </c>
      <c r="B7" s="48"/>
      <c r="C7" s="48"/>
      <c r="D7" s="49"/>
    </row>
  </sheetData>
  <mergeCells count="1">
    <mergeCell ref="A7:D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EE9D-A233-4701-9B43-4781E3FF5904}">
  <dimension ref="C1:Q45"/>
  <sheetViews>
    <sheetView topLeftCell="B1" workbookViewId="0">
      <selection activeCell="T19" sqref="T19"/>
    </sheetView>
  </sheetViews>
  <sheetFormatPr defaultRowHeight="15" x14ac:dyDescent="0.25"/>
  <cols>
    <col min="17" max="17" width="12.5703125" customWidth="1"/>
  </cols>
  <sheetData>
    <row r="1" spans="3:17" ht="15.75" thickBot="1" x14ac:dyDescent="0.3"/>
    <row r="2" spans="3:17" ht="17.25" x14ac:dyDescent="0.3">
      <c r="C2" s="99" t="s">
        <v>29</v>
      </c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1"/>
    </row>
    <row r="3" spans="3:17" ht="15.75" x14ac:dyDescent="0.25">
      <c r="C3" s="102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4"/>
    </row>
    <row r="4" spans="3:17" ht="18" x14ac:dyDescent="0.25">
      <c r="C4" s="105" t="s">
        <v>30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4"/>
    </row>
    <row r="5" spans="3:17" x14ac:dyDescent="0.25">
      <c r="C5" s="107" t="s">
        <v>31</v>
      </c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4"/>
    </row>
    <row r="6" spans="3:17" x14ac:dyDescent="0.25">
      <c r="C6" s="107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4"/>
    </row>
    <row r="7" spans="3:17" ht="18" x14ac:dyDescent="0.25">
      <c r="C7" s="105" t="s">
        <v>32</v>
      </c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4"/>
    </row>
    <row r="8" spans="3:17" x14ac:dyDescent="0.25">
      <c r="C8" s="107" t="s">
        <v>5</v>
      </c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4"/>
    </row>
    <row r="9" spans="3:17" x14ac:dyDescent="0.25">
      <c r="C9" s="107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4"/>
    </row>
    <row r="10" spans="3:17" ht="18" x14ac:dyDescent="0.25">
      <c r="C10" s="105" t="s">
        <v>33</v>
      </c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4"/>
    </row>
    <row r="11" spans="3:17" x14ac:dyDescent="0.25">
      <c r="C11" s="107" t="s">
        <v>34</v>
      </c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4"/>
    </row>
    <row r="12" spans="3:17" x14ac:dyDescent="0.25">
      <c r="C12" s="107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4"/>
    </row>
    <row r="13" spans="3:17" ht="18" x14ac:dyDescent="0.25">
      <c r="C13" s="105" t="s">
        <v>35</v>
      </c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4"/>
    </row>
    <row r="14" spans="3:17" x14ac:dyDescent="0.25">
      <c r="C14" s="108" t="s">
        <v>69</v>
      </c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4"/>
    </row>
    <row r="15" spans="3:17" x14ac:dyDescent="0.25">
      <c r="C15" s="108" t="s">
        <v>70</v>
      </c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4"/>
    </row>
    <row r="16" spans="3:17" x14ac:dyDescent="0.25">
      <c r="C16" s="108" t="s">
        <v>71</v>
      </c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4"/>
    </row>
    <row r="17" spans="3:17" x14ac:dyDescent="0.25">
      <c r="C17" s="108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4"/>
    </row>
    <row r="18" spans="3:17" ht="18" x14ac:dyDescent="0.25">
      <c r="C18" s="105" t="s">
        <v>36</v>
      </c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4"/>
    </row>
    <row r="19" spans="3:17" x14ac:dyDescent="0.25">
      <c r="C19" s="107" t="s">
        <v>6</v>
      </c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4"/>
    </row>
    <row r="20" spans="3:17" x14ac:dyDescent="0.25">
      <c r="C20" s="107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4"/>
    </row>
    <row r="21" spans="3:17" ht="18" x14ac:dyDescent="0.25">
      <c r="C21" s="105" t="s">
        <v>37</v>
      </c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4"/>
    </row>
    <row r="22" spans="3:17" x14ac:dyDescent="0.25">
      <c r="C22" s="107" t="s">
        <v>38</v>
      </c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4"/>
    </row>
    <row r="23" spans="3:17" x14ac:dyDescent="0.25">
      <c r="C23" s="107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4"/>
    </row>
    <row r="24" spans="3:17" ht="18" x14ac:dyDescent="0.25">
      <c r="C24" s="105" t="s">
        <v>25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4"/>
    </row>
    <row r="25" spans="3:17" x14ac:dyDescent="0.25">
      <c r="C25" s="107" t="s">
        <v>39</v>
      </c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4"/>
    </row>
    <row r="26" spans="3:17" x14ac:dyDescent="0.25">
      <c r="C26" s="107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4"/>
    </row>
    <row r="27" spans="3:17" ht="18" x14ac:dyDescent="0.25">
      <c r="C27" s="105" t="s">
        <v>40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4"/>
    </row>
    <row r="28" spans="3:17" x14ac:dyDescent="0.25">
      <c r="C28" s="107" t="s">
        <v>41</v>
      </c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4"/>
    </row>
    <row r="29" spans="3:17" x14ac:dyDescent="0.25">
      <c r="C29" s="107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4"/>
    </row>
    <row r="30" spans="3:17" ht="18" x14ac:dyDescent="0.25">
      <c r="C30" s="105" t="s">
        <v>72</v>
      </c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4"/>
    </row>
    <row r="31" spans="3:17" x14ac:dyDescent="0.25">
      <c r="C31" s="107" t="s">
        <v>73</v>
      </c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4"/>
    </row>
    <row r="32" spans="3:17" x14ac:dyDescent="0.25">
      <c r="C32" s="107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4"/>
    </row>
    <row r="33" spans="3:17" x14ac:dyDescent="0.25">
      <c r="C33" s="108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4"/>
    </row>
    <row r="34" spans="3:17" ht="15.75" thickBot="1" x14ac:dyDescent="0.3">
      <c r="C34" s="109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1"/>
    </row>
    <row r="41" spans="3:17" x14ac:dyDescent="0.25">
      <c r="C41" s="1"/>
    </row>
    <row r="43" spans="3:17" x14ac:dyDescent="0.25">
      <c r="C43" s="1"/>
    </row>
    <row r="45" spans="3:17" x14ac:dyDescent="0.25">
      <c r="C45" s="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6"/>
  <sheetViews>
    <sheetView workbookViewId="0">
      <selection activeCell="B8" sqref="B8"/>
    </sheetView>
  </sheetViews>
  <sheetFormatPr defaultRowHeight="15" x14ac:dyDescent="0.25"/>
  <cols>
    <col min="2" max="2" width="25.42578125" customWidth="1"/>
  </cols>
  <sheetData>
    <row r="1" spans="2:3" ht="15.75" thickBot="1" x14ac:dyDescent="0.3"/>
    <row r="2" spans="2:3" ht="15.75" thickBot="1" x14ac:dyDescent="0.3">
      <c r="B2" s="112" t="s">
        <v>62</v>
      </c>
      <c r="C2" s="98" t="s">
        <v>63</v>
      </c>
    </row>
    <row r="3" spans="2:3" x14ac:dyDescent="0.25">
      <c r="B3" s="113" t="s">
        <v>64</v>
      </c>
      <c r="C3" s="114" t="s">
        <v>65</v>
      </c>
    </row>
    <row r="4" spans="2:3" ht="15.75" customHeight="1" x14ac:dyDescent="0.25">
      <c r="B4" s="115" t="s">
        <v>66</v>
      </c>
      <c r="C4" s="95" t="s">
        <v>65</v>
      </c>
    </row>
    <row r="5" spans="2:3" x14ac:dyDescent="0.25">
      <c r="B5" s="115" t="s">
        <v>67</v>
      </c>
      <c r="C5" s="95" t="s">
        <v>65</v>
      </c>
    </row>
    <row r="6" spans="2:3" ht="15.75" thickBot="1" x14ac:dyDescent="0.3">
      <c r="B6" s="116" t="s">
        <v>68</v>
      </c>
      <c r="C6" s="97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Inputs</vt:lpstr>
      <vt:lpstr>Transition_Empa</vt:lpstr>
      <vt:lpstr>Transition_Sita</vt:lpstr>
      <vt:lpstr>Markov_Empa</vt:lpstr>
      <vt:lpstr>Markov_Sita</vt:lpstr>
      <vt:lpstr>Cost_QALYs</vt:lpstr>
      <vt:lpstr>Results</vt:lpstr>
      <vt:lpstr>README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2026-02-25T05:45:49Z</dcterms:created>
  <dcterms:modified xsi:type="dcterms:W3CDTF">2026-02-27T14:29:33Z</dcterms:modified>
</cp:coreProperties>
</file>